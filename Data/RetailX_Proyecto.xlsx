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ito\OneDrive\Documentos\Freelance\Proyectos Portafolio\Proyecto 3\"/>
    </mc:Choice>
  </mc:AlternateContent>
  <xr:revisionPtr revIDLastSave="0" documentId="13_ncr:1_{E9422E0B-04DB-4BB7-BBD3-5A02F60B70B6}" xr6:coauthVersionLast="47" xr6:coauthVersionMax="47" xr10:uidLastSave="{00000000-0000-0000-0000-000000000000}"/>
  <bookViews>
    <workbookView xWindow="-120" yWindow="-120" windowWidth="20730" windowHeight="11310" activeTab="3" xr2:uid="{9C2B27D6-7A2D-48FB-8410-F9984BF53A79}"/>
  </bookViews>
  <sheets>
    <sheet name="01_RAW" sheetId="6" r:id="rId1"/>
    <sheet name="02_CLEAN" sheetId="2" r:id="rId2"/>
    <sheet name="03_KPIs" sheetId="3" r:id="rId3"/>
    <sheet name="04_PIVOT" sheetId="4" r:id="rId4"/>
    <sheet name="05_NOTAS" sheetId="5" r:id="rId5"/>
  </sheets>
  <definedNames>
    <definedName name="DatosExternos_1" localSheetId="0" hidden="1">'01_RAW'!$A$1:$I$1001</definedName>
  </definedNames>
  <calcPr calcId="19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3" l="1"/>
  <c r="C10" i="3"/>
  <c r="C8" i="3"/>
  <c r="C9" i="3"/>
  <c r="C7" i="3"/>
  <c r="C6" i="3"/>
  <c r="C3" i="3" a="1"/>
  <c r="C3" i="3" s="1"/>
  <c r="C2" i="3"/>
  <c r="C4" i="3"/>
  <c r="C5" i="3"/>
  <c r="J3" i="2"/>
  <c r="K3" i="2"/>
  <c r="L3" i="2"/>
  <c r="M3" i="2"/>
  <c r="J4" i="2"/>
  <c r="K4" i="2"/>
  <c r="L4" i="2"/>
  <c r="M4" i="2"/>
  <c r="J5" i="2"/>
  <c r="K5" i="2"/>
  <c r="L5" i="2"/>
  <c r="M5" i="2"/>
  <c r="J6" i="2"/>
  <c r="K6" i="2"/>
  <c r="L6" i="2"/>
  <c r="M6" i="2"/>
  <c r="J7" i="2"/>
  <c r="K7" i="2"/>
  <c r="L7" i="2"/>
  <c r="M7" i="2"/>
  <c r="J8" i="2"/>
  <c r="K8" i="2"/>
  <c r="L8" i="2"/>
  <c r="M8" i="2"/>
  <c r="J9" i="2"/>
  <c r="K9" i="2"/>
  <c r="L9" i="2"/>
  <c r="M9" i="2"/>
  <c r="J10" i="2"/>
  <c r="K10" i="2"/>
  <c r="L10" i="2"/>
  <c r="M10" i="2"/>
  <c r="J11" i="2"/>
  <c r="K11" i="2"/>
  <c r="L11" i="2"/>
  <c r="M11" i="2"/>
  <c r="J12" i="2"/>
  <c r="K12" i="2"/>
  <c r="L12" i="2"/>
  <c r="M12" i="2"/>
  <c r="J13" i="2"/>
  <c r="K13" i="2"/>
  <c r="L13" i="2"/>
  <c r="M13" i="2"/>
  <c r="J14" i="2"/>
  <c r="K14" i="2"/>
  <c r="L14" i="2"/>
  <c r="M14" i="2"/>
  <c r="J15" i="2"/>
  <c r="K15" i="2"/>
  <c r="L15" i="2"/>
  <c r="M15" i="2"/>
  <c r="J16" i="2"/>
  <c r="K16" i="2"/>
  <c r="L16" i="2"/>
  <c r="M16" i="2"/>
  <c r="J17" i="2"/>
  <c r="K17" i="2"/>
  <c r="L17" i="2"/>
  <c r="M17" i="2"/>
  <c r="J18" i="2"/>
  <c r="K18" i="2"/>
  <c r="L18" i="2"/>
  <c r="M18" i="2"/>
  <c r="J19" i="2"/>
  <c r="K19" i="2"/>
  <c r="L19" i="2"/>
  <c r="M19" i="2"/>
  <c r="J20" i="2"/>
  <c r="K20" i="2"/>
  <c r="L20" i="2"/>
  <c r="M20" i="2"/>
  <c r="J21" i="2"/>
  <c r="K21" i="2"/>
  <c r="L21" i="2"/>
  <c r="M21" i="2"/>
  <c r="J22" i="2"/>
  <c r="K22" i="2"/>
  <c r="L22" i="2"/>
  <c r="M22" i="2"/>
  <c r="J23" i="2"/>
  <c r="K23" i="2"/>
  <c r="L23" i="2"/>
  <c r="M23" i="2"/>
  <c r="J24" i="2"/>
  <c r="K24" i="2"/>
  <c r="L24" i="2"/>
  <c r="M24" i="2"/>
  <c r="J25" i="2"/>
  <c r="K25" i="2"/>
  <c r="L25" i="2"/>
  <c r="M25" i="2"/>
  <c r="J26" i="2"/>
  <c r="K26" i="2"/>
  <c r="L26" i="2"/>
  <c r="M26" i="2"/>
  <c r="J27" i="2"/>
  <c r="K27" i="2"/>
  <c r="L27" i="2"/>
  <c r="M27" i="2"/>
  <c r="J28" i="2"/>
  <c r="K28" i="2"/>
  <c r="L28" i="2"/>
  <c r="M28" i="2"/>
  <c r="J29" i="2"/>
  <c r="K29" i="2"/>
  <c r="L29" i="2"/>
  <c r="M29" i="2"/>
  <c r="J30" i="2"/>
  <c r="K30" i="2"/>
  <c r="L30" i="2"/>
  <c r="M30" i="2"/>
  <c r="J31" i="2"/>
  <c r="K31" i="2"/>
  <c r="L31" i="2"/>
  <c r="M31" i="2"/>
  <c r="J32" i="2"/>
  <c r="K32" i="2"/>
  <c r="L32" i="2"/>
  <c r="M32" i="2"/>
  <c r="J33" i="2"/>
  <c r="K33" i="2"/>
  <c r="L33" i="2"/>
  <c r="M33" i="2"/>
  <c r="J34" i="2"/>
  <c r="K34" i="2"/>
  <c r="L34" i="2"/>
  <c r="M34" i="2"/>
  <c r="J35" i="2"/>
  <c r="K35" i="2"/>
  <c r="L35" i="2"/>
  <c r="M35" i="2"/>
  <c r="J36" i="2"/>
  <c r="K36" i="2"/>
  <c r="L36" i="2"/>
  <c r="M36" i="2"/>
  <c r="J37" i="2"/>
  <c r="K37" i="2"/>
  <c r="L37" i="2"/>
  <c r="M37" i="2"/>
  <c r="J38" i="2"/>
  <c r="K38" i="2"/>
  <c r="L38" i="2"/>
  <c r="M38" i="2"/>
  <c r="J39" i="2"/>
  <c r="K39" i="2"/>
  <c r="L39" i="2"/>
  <c r="M39" i="2"/>
  <c r="J40" i="2"/>
  <c r="K40" i="2"/>
  <c r="L40" i="2"/>
  <c r="M40" i="2"/>
  <c r="J41" i="2"/>
  <c r="K41" i="2"/>
  <c r="L41" i="2"/>
  <c r="M41" i="2"/>
  <c r="J42" i="2"/>
  <c r="K42" i="2"/>
  <c r="L42" i="2"/>
  <c r="M42" i="2"/>
  <c r="J43" i="2"/>
  <c r="K43" i="2"/>
  <c r="L43" i="2"/>
  <c r="M43" i="2"/>
  <c r="J44" i="2"/>
  <c r="K44" i="2"/>
  <c r="L44" i="2"/>
  <c r="M44" i="2"/>
  <c r="J45" i="2"/>
  <c r="K45" i="2"/>
  <c r="L45" i="2"/>
  <c r="M45" i="2"/>
  <c r="J46" i="2"/>
  <c r="K46" i="2"/>
  <c r="L46" i="2"/>
  <c r="M46" i="2"/>
  <c r="J47" i="2"/>
  <c r="K47" i="2"/>
  <c r="L47" i="2"/>
  <c r="M47" i="2"/>
  <c r="J48" i="2"/>
  <c r="K48" i="2"/>
  <c r="L48" i="2"/>
  <c r="M48" i="2"/>
  <c r="J49" i="2"/>
  <c r="K49" i="2"/>
  <c r="L49" i="2"/>
  <c r="M49" i="2"/>
  <c r="J50" i="2"/>
  <c r="K50" i="2"/>
  <c r="L50" i="2"/>
  <c r="M50" i="2"/>
  <c r="J51" i="2"/>
  <c r="K51" i="2"/>
  <c r="L51" i="2"/>
  <c r="M51" i="2"/>
  <c r="J52" i="2"/>
  <c r="K52" i="2"/>
  <c r="L52" i="2"/>
  <c r="M52" i="2"/>
  <c r="J53" i="2"/>
  <c r="K53" i="2"/>
  <c r="L53" i="2"/>
  <c r="M53" i="2"/>
  <c r="J54" i="2"/>
  <c r="K54" i="2"/>
  <c r="L54" i="2"/>
  <c r="M54" i="2"/>
  <c r="J55" i="2"/>
  <c r="K55" i="2"/>
  <c r="L55" i="2"/>
  <c r="M55" i="2"/>
  <c r="J56" i="2"/>
  <c r="K56" i="2"/>
  <c r="L56" i="2"/>
  <c r="M56" i="2"/>
  <c r="J57" i="2"/>
  <c r="K57" i="2"/>
  <c r="L57" i="2"/>
  <c r="M57" i="2"/>
  <c r="J58" i="2"/>
  <c r="K58" i="2"/>
  <c r="L58" i="2"/>
  <c r="M58" i="2"/>
  <c r="J59" i="2"/>
  <c r="K59" i="2"/>
  <c r="L59" i="2"/>
  <c r="M59" i="2"/>
  <c r="J60" i="2"/>
  <c r="K60" i="2"/>
  <c r="L60" i="2"/>
  <c r="M60" i="2"/>
  <c r="J61" i="2"/>
  <c r="K61" i="2"/>
  <c r="L61" i="2"/>
  <c r="M61" i="2"/>
  <c r="J62" i="2"/>
  <c r="K62" i="2"/>
  <c r="L62" i="2"/>
  <c r="M62" i="2"/>
  <c r="J63" i="2"/>
  <c r="K63" i="2"/>
  <c r="L63" i="2"/>
  <c r="M63" i="2"/>
  <c r="J64" i="2"/>
  <c r="K64" i="2"/>
  <c r="L64" i="2"/>
  <c r="M64" i="2"/>
  <c r="J65" i="2"/>
  <c r="K65" i="2"/>
  <c r="L65" i="2"/>
  <c r="M65" i="2"/>
  <c r="J66" i="2"/>
  <c r="K66" i="2"/>
  <c r="L66" i="2"/>
  <c r="M66" i="2"/>
  <c r="J67" i="2"/>
  <c r="K67" i="2"/>
  <c r="L67" i="2"/>
  <c r="M67" i="2"/>
  <c r="J68" i="2"/>
  <c r="K68" i="2"/>
  <c r="L68" i="2"/>
  <c r="M68" i="2"/>
  <c r="J69" i="2"/>
  <c r="K69" i="2"/>
  <c r="L69" i="2"/>
  <c r="M69" i="2"/>
  <c r="J70" i="2"/>
  <c r="K70" i="2"/>
  <c r="L70" i="2"/>
  <c r="M70" i="2"/>
  <c r="J71" i="2"/>
  <c r="K71" i="2"/>
  <c r="L71" i="2"/>
  <c r="M71" i="2"/>
  <c r="J72" i="2"/>
  <c r="K72" i="2"/>
  <c r="L72" i="2"/>
  <c r="M72" i="2"/>
  <c r="J73" i="2"/>
  <c r="K73" i="2"/>
  <c r="L73" i="2"/>
  <c r="M73" i="2"/>
  <c r="J74" i="2"/>
  <c r="K74" i="2"/>
  <c r="L74" i="2"/>
  <c r="M74" i="2"/>
  <c r="J75" i="2"/>
  <c r="K75" i="2"/>
  <c r="L75" i="2"/>
  <c r="M75" i="2"/>
  <c r="J76" i="2"/>
  <c r="K76" i="2"/>
  <c r="L76" i="2"/>
  <c r="M76" i="2"/>
  <c r="J77" i="2"/>
  <c r="K77" i="2"/>
  <c r="L77" i="2"/>
  <c r="M77" i="2"/>
  <c r="J78" i="2"/>
  <c r="K78" i="2"/>
  <c r="L78" i="2"/>
  <c r="M78" i="2"/>
  <c r="J79" i="2"/>
  <c r="K79" i="2"/>
  <c r="L79" i="2"/>
  <c r="M79" i="2"/>
  <c r="J80" i="2"/>
  <c r="K80" i="2"/>
  <c r="L80" i="2"/>
  <c r="M80" i="2"/>
  <c r="J81" i="2"/>
  <c r="K81" i="2"/>
  <c r="L81" i="2"/>
  <c r="M81" i="2"/>
  <c r="J82" i="2"/>
  <c r="K82" i="2"/>
  <c r="L82" i="2"/>
  <c r="M82" i="2"/>
  <c r="J83" i="2"/>
  <c r="K83" i="2"/>
  <c r="L83" i="2"/>
  <c r="M83" i="2"/>
  <c r="J84" i="2"/>
  <c r="K84" i="2"/>
  <c r="L84" i="2"/>
  <c r="M84" i="2"/>
  <c r="J85" i="2"/>
  <c r="K85" i="2"/>
  <c r="L85" i="2"/>
  <c r="M85" i="2"/>
  <c r="J86" i="2"/>
  <c r="K86" i="2"/>
  <c r="L86" i="2"/>
  <c r="M86" i="2"/>
  <c r="J87" i="2"/>
  <c r="K87" i="2"/>
  <c r="L87" i="2"/>
  <c r="M87" i="2"/>
  <c r="J88" i="2"/>
  <c r="K88" i="2"/>
  <c r="L88" i="2"/>
  <c r="M88" i="2"/>
  <c r="J89" i="2"/>
  <c r="K89" i="2"/>
  <c r="L89" i="2"/>
  <c r="M89" i="2"/>
  <c r="J90" i="2"/>
  <c r="K90" i="2"/>
  <c r="L90" i="2"/>
  <c r="M90" i="2"/>
  <c r="J91" i="2"/>
  <c r="K91" i="2"/>
  <c r="L91" i="2"/>
  <c r="M91" i="2"/>
  <c r="J92" i="2"/>
  <c r="K92" i="2"/>
  <c r="L92" i="2"/>
  <c r="M92" i="2"/>
  <c r="J93" i="2"/>
  <c r="K93" i="2"/>
  <c r="L93" i="2"/>
  <c r="M93" i="2"/>
  <c r="J94" i="2"/>
  <c r="K94" i="2"/>
  <c r="L94" i="2"/>
  <c r="M94" i="2"/>
  <c r="J95" i="2"/>
  <c r="K95" i="2"/>
  <c r="L95" i="2"/>
  <c r="M95" i="2"/>
  <c r="J96" i="2"/>
  <c r="K96" i="2"/>
  <c r="L96" i="2"/>
  <c r="M96" i="2"/>
  <c r="J97" i="2"/>
  <c r="K97" i="2"/>
  <c r="L97" i="2"/>
  <c r="M97" i="2"/>
  <c r="J98" i="2"/>
  <c r="K98" i="2"/>
  <c r="L98" i="2"/>
  <c r="M98" i="2"/>
  <c r="J99" i="2"/>
  <c r="K99" i="2"/>
  <c r="L99" i="2"/>
  <c r="M99" i="2"/>
  <c r="J100" i="2"/>
  <c r="K100" i="2"/>
  <c r="L100" i="2"/>
  <c r="M100" i="2"/>
  <c r="J101" i="2"/>
  <c r="K101" i="2"/>
  <c r="L101" i="2"/>
  <c r="M101" i="2"/>
  <c r="J102" i="2"/>
  <c r="K102" i="2"/>
  <c r="L102" i="2"/>
  <c r="M102" i="2"/>
  <c r="J103" i="2"/>
  <c r="K103" i="2"/>
  <c r="L103" i="2"/>
  <c r="M103" i="2"/>
  <c r="J104" i="2"/>
  <c r="K104" i="2"/>
  <c r="L104" i="2"/>
  <c r="M104" i="2"/>
  <c r="J105" i="2"/>
  <c r="K105" i="2"/>
  <c r="L105" i="2"/>
  <c r="M105" i="2"/>
  <c r="J106" i="2"/>
  <c r="K106" i="2"/>
  <c r="L106" i="2"/>
  <c r="M106" i="2"/>
  <c r="J107" i="2"/>
  <c r="K107" i="2"/>
  <c r="L107" i="2"/>
  <c r="M107" i="2"/>
  <c r="J108" i="2"/>
  <c r="K108" i="2"/>
  <c r="L108" i="2"/>
  <c r="M108" i="2"/>
  <c r="J109" i="2"/>
  <c r="K109" i="2"/>
  <c r="L109" i="2"/>
  <c r="M109" i="2"/>
  <c r="J110" i="2"/>
  <c r="K110" i="2"/>
  <c r="L110" i="2"/>
  <c r="M110" i="2"/>
  <c r="J111" i="2"/>
  <c r="K111" i="2"/>
  <c r="L111" i="2"/>
  <c r="M111" i="2"/>
  <c r="J112" i="2"/>
  <c r="K112" i="2"/>
  <c r="L112" i="2"/>
  <c r="M112" i="2"/>
  <c r="J113" i="2"/>
  <c r="K113" i="2"/>
  <c r="L113" i="2"/>
  <c r="M113" i="2"/>
  <c r="J114" i="2"/>
  <c r="K114" i="2"/>
  <c r="L114" i="2"/>
  <c r="M114" i="2"/>
  <c r="J115" i="2"/>
  <c r="K115" i="2"/>
  <c r="L115" i="2"/>
  <c r="M115" i="2"/>
  <c r="J116" i="2"/>
  <c r="K116" i="2"/>
  <c r="L116" i="2"/>
  <c r="M116" i="2"/>
  <c r="J117" i="2"/>
  <c r="K117" i="2"/>
  <c r="L117" i="2"/>
  <c r="M117" i="2"/>
  <c r="J118" i="2"/>
  <c r="K118" i="2"/>
  <c r="L118" i="2"/>
  <c r="M118" i="2"/>
  <c r="J119" i="2"/>
  <c r="K119" i="2"/>
  <c r="L119" i="2"/>
  <c r="M119" i="2"/>
  <c r="J120" i="2"/>
  <c r="K120" i="2"/>
  <c r="L120" i="2"/>
  <c r="M120" i="2"/>
  <c r="J121" i="2"/>
  <c r="K121" i="2"/>
  <c r="L121" i="2"/>
  <c r="M121" i="2"/>
  <c r="J122" i="2"/>
  <c r="K122" i="2"/>
  <c r="L122" i="2"/>
  <c r="M122" i="2"/>
  <c r="J123" i="2"/>
  <c r="K123" i="2"/>
  <c r="L123" i="2"/>
  <c r="M123" i="2"/>
  <c r="J124" i="2"/>
  <c r="K124" i="2"/>
  <c r="L124" i="2"/>
  <c r="M124" i="2"/>
  <c r="J125" i="2"/>
  <c r="K125" i="2"/>
  <c r="L125" i="2"/>
  <c r="M125" i="2"/>
  <c r="J126" i="2"/>
  <c r="K126" i="2"/>
  <c r="L126" i="2"/>
  <c r="M126" i="2"/>
  <c r="J127" i="2"/>
  <c r="K127" i="2"/>
  <c r="L127" i="2"/>
  <c r="M127" i="2"/>
  <c r="J128" i="2"/>
  <c r="K128" i="2"/>
  <c r="L128" i="2"/>
  <c r="M128" i="2"/>
  <c r="J129" i="2"/>
  <c r="K129" i="2"/>
  <c r="L129" i="2"/>
  <c r="M129" i="2"/>
  <c r="J130" i="2"/>
  <c r="K130" i="2"/>
  <c r="L130" i="2"/>
  <c r="M130" i="2"/>
  <c r="J131" i="2"/>
  <c r="K131" i="2"/>
  <c r="L131" i="2"/>
  <c r="M131" i="2"/>
  <c r="J132" i="2"/>
  <c r="K132" i="2"/>
  <c r="L132" i="2"/>
  <c r="M132" i="2"/>
  <c r="J133" i="2"/>
  <c r="K133" i="2"/>
  <c r="L133" i="2"/>
  <c r="M133" i="2"/>
  <c r="J134" i="2"/>
  <c r="K134" i="2"/>
  <c r="L134" i="2"/>
  <c r="M134" i="2"/>
  <c r="J135" i="2"/>
  <c r="K135" i="2"/>
  <c r="L135" i="2"/>
  <c r="M135" i="2"/>
  <c r="J136" i="2"/>
  <c r="K136" i="2"/>
  <c r="L136" i="2"/>
  <c r="M136" i="2"/>
  <c r="J137" i="2"/>
  <c r="K137" i="2"/>
  <c r="L137" i="2"/>
  <c r="M137" i="2"/>
  <c r="J138" i="2"/>
  <c r="K138" i="2"/>
  <c r="L138" i="2"/>
  <c r="M138" i="2"/>
  <c r="J139" i="2"/>
  <c r="K139" i="2"/>
  <c r="L139" i="2"/>
  <c r="M139" i="2"/>
  <c r="J140" i="2"/>
  <c r="K140" i="2"/>
  <c r="L140" i="2"/>
  <c r="M140" i="2"/>
  <c r="J141" i="2"/>
  <c r="K141" i="2"/>
  <c r="L141" i="2"/>
  <c r="M141" i="2"/>
  <c r="J142" i="2"/>
  <c r="K142" i="2"/>
  <c r="L142" i="2"/>
  <c r="M142" i="2"/>
  <c r="J143" i="2"/>
  <c r="K143" i="2"/>
  <c r="L143" i="2"/>
  <c r="M143" i="2"/>
  <c r="J144" i="2"/>
  <c r="K144" i="2"/>
  <c r="L144" i="2"/>
  <c r="M144" i="2"/>
  <c r="J145" i="2"/>
  <c r="K145" i="2"/>
  <c r="L145" i="2"/>
  <c r="M145" i="2"/>
  <c r="J146" i="2"/>
  <c r="K146" i="2"/>
  <c r="L146" i="2"/>
  <c r="M146" i="2"/>
  <c r="J147" i="2"/>
  <c r="K147" i="2"/>
  <c r="L147" i="2"/>
  <c r="M147" i="2"/>
  <c r="J148" i="2"/>
  <c r="K148" i="2"/>
  <c r="L148" i="2"/>
  <c r="M148" i="2"/>
  <c r="J149" i="2"/>
  <c r="K149" i="2"/>
  <c r="L149" i="2"/>
  <c r="M149" i="2"/>
  <c r="J150" i="2"/>
  <c r="K150" i="2"/>
  <c r="L150" i="2"/>
  <c r="M150" i="2"/>
  <c r="J151" i="2"/>
  <c r="K151" i="2"/>
  <c r="L151" i="2"/>
  <c r="M151" i="2"/>
  <c r="J152" i="2"/>
  <c r="K152" i="2"/>
  <c r="L152" i="2"/>
  <c r="M152" i="2"/>
  <c r="J153" i="2"/>
  <c r="K153" i="2"/>
  <c r="L153" i="2"/>
  <c r="M153" i="2"/>
  <c r="J154" i="2"/>
  <c r="K154" i="2"/>
  <c r="L154" i="2"/>
  <c r="M154" i="2"/>
  <c r="J155" i="2"/>
  <c r="K155" i="2"/>
  <c r="L155" i="2"/>
  <c r="M155" i="2"/>
  <c r="J156" i="2"/>
  <c r="K156" i="2"/>
  <c r="L156" i="2"/>
  <c r="M156" i="2"/>
  <c r="J157" i="2"/>
  <c r="K157" i="2"/>
  <c r="L157" i="2"/>
  <c r="M157" i="2"/>
  <c r="J158" i="2"/>
  <c r="K158" i="2"/>
  <c r="L158" i="2"/>
  <c r="M158" i="2"/>
  <c r="J159" i="2"/>
  <c r="K159" i="2"/>
  <c r="L159" i="2"/>
  <c r="M159" i="2"/>
  <c r="J160" i="2"/>
  <c r="K160" i="2"/>
  <c r="L160" i="2"/>
  <c r="M160" i="2"/>
  <c r="J161" i="2"/>
  <c r="K161" i="2"/>
  <c r="L161" i="2"/>
  <c r="M161" i="2"/>
  <c r="J162" i="2"/>
  <c r="K162" i="2"/>
  <c r="L162" i="2"/>
  <c r="M162" i="2"/>
  <c r="J163" i="2"/>
  <c r="K163" i="2"/>
  <c r="L163" i="2"/>
  <c r="M163" i="2"/>
  <c r="J164" i="2"/>
  <c r="K164" i="2"/>
  <c r="L164" i="2"/>
  <c r="M164" i="2"/>
  <c r="J165" i="2"/>
  <c r="K165" i="2"/>
  <c r="L165" i="2"/>
  <c r="M165" i="2"/>
  <c r="J166" i="2"/>
  <c r="K166" i="2"/>
  <c r="L166" i="2"/>
  <c r="M166" i="2"/>
  <c r="J167" i="2"/>
  <c r="K167" i="2"/>
  <c r="L167" i="2"/>
  <c r="M167" i="2"/>
  <c r="J168" i="2"/>
  <c r="K168" i="2"/>
  <c r="L168" i="2"/>
  <c r="M168" i="2"/>
  <c r="J169" i="2"/>
  <c r="K169" i="2"/>
  <c r="L169" i="2"/>
  <c r="M169" i="2"/>
  <c r="J170" i="2"/>
  <c r="K170" i="2"/>
  <c r="L170" i="2"/>
  <c r="M170" i="2"/>
  <c r="J171" i="2"/>
  <c r="K171" i="2"/>
  <c r="L171" i="2"/>
  <c r="M171" i="2"/>
  <c r="J172" i="2"/>
  <c r="K172" i="2"/>
  <c r="L172" i="2"/>
  <c r="M172" i="2"/>
  <c r="J173" i="2"/>
  <c r="K173" i="2"/>
  <c r="L173" i="2"/>
  <c r="M173" i="2"/>
  <c r="J174" i="2"/>
  <c r="K174" i="2"/>
  <c r="L174" i="2"/>
  <c r="M174" i="2"/>
  <c r="J175" i="2"/>
  <c r="K175" i="2"/>
  <c r="L175" i="2"/>
  <c r="M175" i="2"/>
  <c r="J176" i="2"/>
  <c r="K176" i="2"/>
  <c r="L176" i="2"/>
  <c r="M176" i="2"/>
  <c r="J177" i="2"/>
  <c r="K177" i="2"/>
  <c r="L177" i="2"/>
  <c r="M177" i="2"/>
  <c r="J178" i="2"/>
  <c r="K178" i="2"/>
  <c r="L178" i="2"/>
  <c r="M178" i="2"/>
  <c r="J179" i="2"/>
  <c r="K179" i="2"/>
  <c r="L179" i="2"/>
  <c r="M179" i="2"/>
  <c r="J180" i="2"/>
  <c r="K180" i="2"/>
  <c r="L180" i="2"/>
  <c r="M180" i="2"/>
  <c r="J181" i="2"/>
  <c r="K181" i="2"/>
  <c r="L181" i="2"/>
  <c r="M181" i="2"/>
  <c r="J182" i="2"/>
  <c r="K182" i="2"/>
  <c r="L182" i="2"/>
  <c r="M182" i="2"/>
  <c r="J183" i="2"/>
  <c r="K183" i="2"/>
  <c r="L183" i="2"/>
  <c r="M183" i="2"/>
  <c r="J184" i="2"/>
  <c r="K184" i="2"/>
  <c r="L184" i="2"/>
  <c r="M184" i="2"/>
  <c r="J185" i="2"/>
  <c r="K185" i="2"/>
  <c r="L185" i="2"/>
  <c r="M185" i="2"/>
  <c r="J186" i="2"/>
  <c r="K186" i="2"/>
  <c r="L186" i="2"/>
  <c r="M186" i="2"/>
  <c r="J187" i="2"/>
  <c r="K187" i="2"/>
  <c r="L187" i="2"/>
  <c r="M187" i="2"/>
  <c r="J188" i="2"/>
  <c r="K188" i="2"/>
  <c r="L188" i="2"/>
  <c r="M188" i="2"/>
  <c r="J189" i="2"/>
  <c r="K189" i="2"/>
  <c r="L189" i="2"/>
  <c r="M189" i="2"/>
  <c r="J190" i="2"/>
  <c r="K190" i="2"/>
  <c r="L190" i="2"/>
  <c r="M190" i="2"/>
  <c r="J191" i="2"/>
  <c r="K191" i="2"/>
  <c r="L191" i="2"/>
  <c r="M191" i="2"/>
  <c r="J192" i="2"/>
  <c r="K192" i="2"/>
  <c r="L192" i="2"/>
  <c r="M192" i="2"/>
  <c r="J193" i="2"/>
  <c r="K193" i="2"/>
  <c r="L193" i="2"/>
  <c r="M193" i="2"/>
  <c r="J194" i="2"/>
  <c r="K194" i="2"/>
  <c r="L194" i="2"/>
  <c r="M194" i="2"/>
  <c r="J195" i="2"/>
  <c r="K195" i="2"/>
  <c r="L195" i="2"/>
  <c r="M195" i="2"/>
  <c r="J196" i="2"/>
  <c r="K196" i="2"/>
  <c r="L196" i="2"/>
  <c r="M196" i="2"/>
  <c r="J197" i="2"/>
  <c r="K197" i="2"/>
  <c r="L197" i="2"/>
  <c r="M197" i="2"/>
  <c r="J198" i="2"/>
  <c r="K198" i="2"/>
  <c r="L198" i="2"/>
  <c r="M198" i="2"/>
  <c r="J199" i="2"/>
  <c r="K199" i="2"/>
  <c r="L199" i="2"/>
  <c r="M199" i="2"/>
  <c r="J200" i="2"/>
  <c r="K200" i="2"/>
  <c r="L200" i="2"/>
  <c r="M200" i="2"/>
  <c r="J201" i="2"/>
  <c r="K201" i="2"/>
  <c r="L201" i="2"/>
  <c r="M201" i="2"/>
  <c r="J202" i="2"/>
  <c r="K202" i="2"/>
  <c r="L202" i="2"/>
  <c r="M202" i="2"/>
  <c r="J203" i="2"/>
  <c r="K203" i="2"/>
  <c r="L203" i="2"/>
  <c r="M203" i="2"/>
  <c r="J204" i="2"/>
  <c r="K204" i="2"/>
  <c r="L204" i="2"/>
  <c r="M204" i="2"/>
  <c r="J205" i="2"/>
  <c r="K205" i="2"/>
  <c r="L205" i="2"/>
  <c r="M205" i="2"/>
  <c r="J206" i="2"/>
  <c r="K206" i="2"/>
  <c r="L206" i="2"/>
  <c r="M206" i="2"/>
  <c r="J207" i="2"/>
  <c r="K207" i="2"/>
  <c r="L207" i="2"/>
  <c r="M207" i="2"/>
  <c r="J208" i="2"/>
  <c r="K208" i="2"/>
  <c r="L208" i="2"/>
  <c r="M208" i="2"/>
  <c r="J209" i="2"/>
  <c r="K209" i="2"/>
  <c r="L209" i="2"/>
  <c r="M209" i="2"/>
  <c r="J210" i="2"/>
  <c r="K210" i="2"/>
  <c r="L210" i="2"/>
  <c r="M210" i="2"/>
  <c r="J211" i="2"/>
  <c r="K211" i="2"/>
  <c r="L211" i="2"/>
  <c r="M211" i="2"/>
  <c r="J212" i="2"/>
  <c r="K212" i="2"/>
  <c r="L212" i="2"/>
  <c r="M212" i="2"/>
  <c r="J213" i="2"/>
  <c r="K213" i="2"/>
  <c r="L213" i="2"/>
  <c r="M213" i="2"/>
  <c r="J214" i="2"/>
  <c r="K214" i="2"/>
  <c r="L214" i="2"/>
  <c r="M214" i="2"/>
  <c r="J215" i="2"/>
  <c r="K215" i="2"/>
  <c r="L215" i="2"/>
  <c r="M215" i="2"/>
  <c r="J216" i="2"/>
  <c r="K216" i="2"/>
  <c r="L216" i="2"/>
  <c r="M216" i="2"/>
  <c r="J217" i="2"/>
  <c r="K217" i="2"/>
  <c r="L217" i="2"/>
  <c r="M217" i="2"/>
  <c r="J218" i="2"/>
  <c r="K218" i="2"/>
  <c r="L218" i="2"/>
  <c r="M218" i="2"/>
  <c r="J219" i="2"/>
  <c r="K219" i="2"/>
  <c r="L219" i="2"/>
  <c r="M219" i="2"/>
  <c r="J220" i="2"/>
  <c r="K220" i="2"/>
  <c r="L220" i="2"/>
  <c r="M220" i="2"/>
  <c r="J221" i="2"/>
  <c r="K221" i="2"/>
  <c r="L221" i="2"/>
  <c r="M221" i="2"/>
  <c r="J222" i="2"/>
  <c r="K222" i="2"/>
  <c r="L222" i="2"/>
  <c r="M222" i="2"/>
  <c r="J223" i="2"/>
  <c r="K223" i="2"/>
  <c r="L223" i="2"/>
  <c r="M223" i="2"/>
  <c r="J224" i="2"/>
  <c r="K224" i="2"/>
  <c r="L224" i="2"/>
  <c r="M224" i="2"/>
  <c r="J225" i="2"/>
  <c r="K225" i="2"/>
  <c r="L225" i="2"/>
  <c r="M225" i="2"/>
  <c r="J226" i="2"/>
  <c r="K226" i="2"/>
  <c r="L226" i="2"/>
  <c r="M226" i="2"/>
  <c r="J227" i="2"/>
  <c r="K227" i="2"/>
  <c r="L227" i="2"/>
  <c r="M227" i="2"/>
  <c r="J228" i="2"/>
  <c r="K228" i="2"/>
  <c r="L228" i="2"/>
  <c r="M228" i="2"/>
  <c r="J229" i="2"/>
  <c r="K229" i="2"/>
  <c r="L229" i="2"/>
  <c r="M229" i="2"/>
  <c r="J230" i="2"/>
  <c r="K230" i="2"/>
  <c r="L230" i="2"/>
  <c r="M230" i="2"/>
  <c r="J231" i="2"/>
  <c r="K231" i="2"/>
  <c r="L231" i="2"/>
  <c r="M231" i="2"/>
  <c r="J232" i="2"/>
  <c r="K232" i="2"/>
  <c r="L232" i="2"/>
  <c r="M232" i="2"/>
  <c r="J233" i="2"/>
  <c r="K233" i="2"/>
  <c r="L233" i="2"/>
  <c r="M233" i="2"/>
  <c r="J234" i="2"/>
  <c r="K234" i="2"/>
  <c r="L234" i="2"/>
  <c r="M234" i="2"/>
  <c r="J235" i="2"/>
  <c r="K235" i="2"/>
  <c r="L235" i="2"/>
  <c r="M235" i="2"/>
  <c r="J236" i="2"/>
  <c r="K236" i="2"/>
  <c r="L236" i="2"/>
  <c r="M236" i="2"/>
  <c r="J237" i="2"/>
  <c r="K237" i="2"/>
  <c r="L237" i="2"/>
  <c r="M237" i="2"/>
  <c r="J238" i="2"/>
  <c r="K238" i="2"/>
  <c r="L238" i="2"/>
  <c r="M238" i="2"/>
  <c r="J239" i="2"/>
  <c r="K239" i="2"/>
  <c r="L239" i="2"/>
  <c r="M239" i="2"/>
  <c r="J240" i="2"/>
  <c r="K240" i="2"/>
  <c r="L240" i="2"/>
  <c r="M240" i="2"/>
  <c r="J241" i="2"/>
  <c r="K241" i="2"/>
  <c r="L241" i="2"/>
  <c r="M241" i="2"/>
  <c r="J242" i="2"/>
  <c r="K242" i="2"/>
  <c r="L242" i="2"/>
  <c r="M242" i="2"/>
  <c r="J243" i="2"/>
  <c r="K243" i="2"/>
  <c r="L243" i="2"/>
  <c r="M243" i="2"/>
  <c r="J244" i="2"/>
  <c r="K244" i="2"/>
  <c r="L244" i="2"/>
  <c r="M244" i="2"/>
  <c r="J245" i="2"/>
  <c r="K245" i="2"/>
  <c r="L245" i="2"/>
  <c r="M245" i="2"/>
  <c r="J246" i="2"/>
  <c r="K246" i="2"/>
  <c r="L246" i="2"/>
  <c r="M246" i="2"/>
  <c r="J247" i="2"/>
  <c r="K247" i="2"/>
  <c r="L247" i="2"/>
  <c r="M247" i="2"/>
  <c r="J248" i="2"/>
  <c r="K248" i="2"/>
  <c r="L248" i="2"/>
  <c r="M248" i="2"/>
  <c r="J249" i="2"/>
  <c r="K249" i="2"/>
  <c r="L249" i="2"/>
  <c r="M249" i="2"/>
  <c r="J250" i="2"/>
  <c r="K250" i="2"/>
  <c r="L250" i="2"/>
  <c r="M250" i="2"/>
  <c r="J251" i="2"/>
  <c r="K251" i="2"/>
  <c r="L251" i="2"/>
  <c r="M251" i="2"/>
  <c r="J252" i="2"/>
  <c r="K252" i="2"/>
  <c r="L252" i="2"/>
  <c r="M252" i="2"/>
  <c r="J253" i="2"/>
  <c r="K253" i="2"/>
  <c r="L253" i="2"/>
  <c r="M253" i="2"/>
  <c r="J254" i="2"/>
  <c r="K254" i="2"/>
  <c r="L254" i="2"/>
  <c r="M254" i="2"/>
  <c r="J255" i="2"/>
  <c r="K255" i="2"/>
  <c r="L255" i="2"/>
  <c r="M255" i="2"/>
  <c r="J256" i="2"/>
  <c r="K256" i="2"/>
  <c r="L256" i="2"/>
  <c r="M256" i="2"/>
  <c r="J257" i="2"/>
  <c r="K257" i="2"/>
  <c r="L257" i="2"/>
  <c r="M257" i="2"/>
  <c r="J258" i="2"/>
  <c r="K258" i="2"/>
  <c r="L258" i="2"/>
  <c r="M258" i="2"/>
  <c r="J259" i="2"/>
  <c r="K259" i="2"/>
  <c r="L259" i="2"/>
  <c r="M259" i="2"/>
  <c r="J260" i="2"/>
  <c r="K260" i="2"/>
  <c r="L260" i="2"/>
  <c r="M260" i="2"/>
  <c r="J261" i="2"/>
  <c r="K261" i="2"/>
  <c r="L261" i="2"/>
  <c r="M261" i="2"/>
  <c r="J262" i="2"/>
  <c r="K262" i="2"/>
  <c r="L262" i="2"/>
  <c r="M262" i="2"/>
  <c r="J263" i="2"/>
  <c r="K263" i="2"/>
  <c r="L263" i="2"/>
  <c r="M263" i="2"/>
  <c r="J264" i="2"/>
  <c r="K264" i="2"/>
  <c r="L264" i="2"/>
  <c r="M264" i="2"/>
  <c r="J265" i="2"/>
  <c r="K265" i="2"/>
  <c r="L265" i="2"/>
  <c r="M265" i="2"/>
  <c r="J266" i="2"/>
  <c r="K266" i="2"/>
  <c r="L266" i="2"/>
  <c r="M266" i="2"/>
  <c r="J267" i="2"/>
  <c r="K267" i="2"/>
  <c r="L267" i="2"/>
  <c r="M267" i="2"/>
  <c r="J268" i="2"/>
  <c r="K268" i="2"/>
  <c r="L268" i="2"/>
  <c r="M268" i="2"/>
  <c r="J269" i="2"/>
  <c r="K269" i="2"/>
  <c r="L269" i="2"/>
  <c r="M269" i="2"/>
  <c r="J270" i="2"/>
  <c r="K270" i="2"/>
  <c r="L270" i="2"/>
  <c r="M270" i="2"/>
  <c r="J271" i="2"/>
  <c r="K271" i="2"/>
  <c r="L271" i="2"/>
  <c r="M271" i="2"/>
  <c r="J272" i="2"/>
  <c r="K272" i="2"/>
  <c r="L272" i="2"/>
  <c r="M272" i="2"/>
  <c r="J273" i="2"/>
  <c r="K273" i="2"/>
  <c r="L273" i="2"/>
  <c r="M273" i="2"/>
  <c r="J274" i="2"/>
  <c r="K274" i="2"/>
  <c r="L274" i="2"/>
  <c r="M274" i="2"/>
  <c r="J275" i="2"/>
  <c r="K275" i="2"/>
  <c r="L275" i="2"/>
  <c r="M275" i="2"/>
  <c r="J276" i="2"/>
  <c r="K276" i="2"/>
  <c r="L276" i="2"/>
  <c r="M276" i="2"/>
  <c r="J277" i="2"/>
  <c r="K277" i="2"/>
  <c r="L277" i="2"/>
  <c r="M277" i="2"/>
  <c r="J278" i="2"/>
  <c r="K278" i="2"/>
  <c r="L278" i="2"/>
  <c r="M278" i="2"/>
  <c r="J279" i="2"/>
  <c r="K279" i="2"/>
  <c r="L279" i="2"/>
  <c r="M279" i="2"/>
  <c r="J280" i="2"/>
  <c r="K280" i="2"/>
  <c r="L280" i="2"/>
  <c r="M280" i="2"/>
  <c r="J281" i="2"/>
  <c r="K281" i="2"/>
  <c r="L281" i="2"/>
  <c r="M281" i="2"/>
  <c r="J282" i="2"/>
  <c r="K282" i="2"/>
  <c r="L282" i="2"/>
  <c r="M282" i="2"/>
  <c r="J283" i="2"/>
  <c r="K283" i="2"/>
  <c r="L283" i="2"/>
  <c r="M283" i="2"/>
  <c r="J284" i="2"/>
  <c r="K284" i="2"/>
  <c r="L284" i="2"/>
  <c r="M284" i="2"/>
  <c r="J285" i="2"/>
  <c r="K285" i="2"/>
  <c r="L285" i="2"/>
  <c r="M285" i="2"/>
  <c r="J286" i="2"/>
  <c r="K286" i="2"/>
  <c r="L286" i="2"/>
  <c r="M286" i="2"/>
  <c r="J287" i="2"/>
  <c r="K287" i="2"/>
  <c r="L287" i="2"/>
  <c r="M287" i="2"/>
  <c r="J288" i="2"/>
  <c r="K288" i="2"/>
  <c r="L288" i="2"/>
  <c r="M288" i="2"/>
  <c r="J289" i="2"/>
  <c r="K289" i="2"/>
  <c r="L289" i="2"/>
  <c r="M289" i="2"/>
  <c r="J290" i="2"/>
  <c r="K290" i="2"/>
  <c r="L290" i="2"/>
  <c r="M290" i="2"/>
  <c r="J291" i="2"/>
  <c r="K291" i="2"/>
  <c r="L291" i="2"/>
  <c r="M291" i="2"/>
  <c r="J292" i="2"/>
  <c r="K292" i="2"/>
  <c r="L292" i="2"/>
  <c r="M292" i="2"/>
  <c r="J293" i="2"/>
  <c r="K293" i="2"/>
  <c r="L293" i="2"/>
  <c r="M293" i="2"/>
  <c r="J294" i="2"/>
  <c r="K294" i="2"/>
  <c r="L294" i="2"/>
  <c r="M294" i="2"/>
  <c r="J295" i="2"/>
  <c r="K295" i="2"/>
  <c r="L295" i="2"/>
  <c r="M295" i="2"/>
  <c r="J296" i="2"/>
  <c r="K296" i="2"/>
  <c r="L296" i="2"/>
  <c r="M296" i="2"/>
  <c r="J297" i="2"/>
  <c r="K297" i="2"/>
  <c r="L297" i="2"/>
  <c r="M297" i="2"/>
  <c r="J298" i="2"/>
  <c r="K298" i="2"/>
  <c r="L298" i="2"/>
  <c r="M298" i="2"/>
  <c r="J299" i="2"/>
  <c r="K299" i="2"/>
  <c r="L299" i="2"/>
  <c r="M299" i="2"/>
  <c r="J300" i="2"/>
  <c r="K300" i="2"/>
  <c r="L300" i="2"/>
  <c r="M300" i="2"/>
  <c r="J301" i="2"/>
  <c r="K301" i="2"/>
  <c r="L301" i="2"/>
  <c r="M301" i="2"/>
  <c r="J302" i="2"/>
  <c r="K302" i="2"/>
  <c r="L302" i="2"/>
  <c r="M302" i="2"/>
  <c r="J303" i="2"/>
  <c r="K303" i="2"/>
  <c r="L303" i="2"/>
  <c r="M303" i="2"/>
  <c r="J304" i="2"/>
  <c r="K304" i="2"/>
  <c r="L304" i="2"/>
  <c r="M304" i="2"/>
  <c r="J305" i="2"/>
  <c r="K305" i="2"/>
  <c r="L305" i="2"/>
  <c r="M305" i="2"/>
  <c r="J306" i="2"/>
  <c r="K306" i="2"/>
  <c r="L306" i="2"/>
  <c r="M306" i="2"/>
  <c r="J307" i="2"/>
  <c r="K307" i="2"/>
  <c r="L307" i="2"/>
  <c r="M307" i="2"/>
  <c r="J308" i="2"/>
  <c r="K308" i="2"/>
  <c r="L308" i="2"/>
  <c r="M308" i="2"/>
  <c r="J309" i="2"/>
  <c r="K309" i="2"/>
  <c r="L309" i="2"/>
  <c r="M309" i="2"/>
  <c r="J310" i="2"/>
  <c r="K310" i="2"/>
  <c r="L310" i="2"/>
  <c r="M310" i="2"/>
  <c r="J311" i="2"/>
  <c r="K311" i="2"/>
  <c r="L311" i="2"/>
  <c r="M311" i="2"/>
  <c r="J312" i="2"/>
  <c r="K312" i="2"/>
  <c r="L312" i="2"/>
  <c r="M312" i="2"/>
  <c r="J313" i="2"/>
  <c r="K313" i="2"/>
  <c r="L313" i="2"/>
  <c r="M313" i="2"/>
  <c r="J314" i="2"/>
  <c r="K314" i="2"/>
  <c r="L314" i="2"/>
  <c r="M314" i="2"/>
  <c r="J315" i="2"/>
  <c r="K315" i="2"/>
  <c r="L315" i="2"/>
  <c r="M315" i="2"/>
  <c r="J316" i="2"/>
  <c r="K316" i="2"/>
  <c r="L316" i="2"/>
  <c r="M316" i="2"/>
  <c r="J317" i="2"/>
  <c r="K317" i="2"/>
  <c r="L317" i="2"/>
  <c r="M317" i="2"/>
  <c r="J318" i="2"/>
  <c r="K318" i="2"/>
  <c r="L318" i="2"/>
  <c r="M318" i="2"/>
  <c r="J319" i="2"/>
  <c r="K319" i="2"/>
  <c r="L319" i="2"/>
  <c r="M319" i="2"/>
  <c r="J320" i="2"/>
  <c r="K320" i="2"/>
  <c r="L320" i="2"/>
  <c r="M320" i="2"/>
  <c r="J321" i="2"/>
  <c r="K321" i="2"/>
  <c r="L321" i="2"/>
  <c r="M321" i="2"/>
  <c r="J322" i="2"/>
  <c r="K322" i="2"/>
  <c r="L322" i="2"/>
  <c r="M322" i="2"/>
  <c r="J323" i="2"/>
  <c r="K323" i="2"/>
  <c r="L323" i="2"/>
  <c r="M323" i="2"/>
  <c r="J324" i="2"/>
  <c r="K324" i="2"/>
  <c r="L324" i="2"/>
  <c r="M324" i="2"/>
  <c r="J325" i="2"/>
  <c r="K325" i="2"/>
  <c r="L325" i="2"/>
  <c r="M325" i="2"/>
  <c r="J326" i="2"/>
  <c r="K326" i="2"/>
  <c r="L326" i="2"/>
  <c r="M326" i="2"/>
  <c r="J327" i="2"/>
  <c r="K327" i="2"/>
  <c r="L327" i="2"/>
  <c r="M327" i="2"/>
  <c r="J328" i="2"/>
  <c r="K328" i="2"/>
  <c r="L328" i="2"/>
  <c r="M328" i="2"/>
  <c r="J329" i="2"/>
  <c r="K329" i="2"/>
  <c r="L329" i="2"/>
  <c r="M329" i="2"/>
  <c r="J330" i="2"/>
  <c r="K330" i="2"/>
  <c r="L330" i="2"/>
  <c r="M330" i="2"/>
  <c r="J331" i="2"/>
  <c r="K331" i="2"/>
  <c r="L331" i="2"/>
  <c r="M331" i="2"/>
  <c r="J332" i="2"/>
  <c r="K332" i="2"/>
  <c r="L332" i="2"/>
  <c r="M332" i="2"/>
  <c r="J333" i="2"/>
  <c r="K333" i="2"/>
  <c r="L333" i="2"/>
  <c r="M333" i="2"/>
  <c r="J334" i="2"/>
  <c r="K334" i="2"/>
  <c r="L334" i="2"/>
  <c r="M334" i="2"/>
  <c r="J335" i="2"/>
  <c r="K335" i="2"/>
  <c r="L335" i="2"/>
  <c r="M335" i="2"/>
  <c r="J336" i="2"/>
  <c r="K336" i="2"/>
  <c r="L336" i="2"/>
  <c r="M336" i="2"/>
  <c r="J337" i="2"/>
  <c r="K337" i="2"/>
  <c r="L337" i="2"/>
  <c r="M337" i="2"/>
  <c r="J338" i="2"/>
  <c r="K338" i="2"/>
  <c r="L338" i="2"/>
  <c r="M338" i="2"/>
  <c r="J339" i="2"/>
  <c r="K339" i="2"/>
  <c r="L339" i="2"/>
  <c r="M339" i="2"/>
  <c r="J340" i="2"/>
  <c r="K340" i="2"/>
  <c r="L340" i="2"/>
  <c r="M340" i="2"/>
  <c r="J341" i="2"/>
  <c r="K341" i="2"/>
  <c r="L341" i="2"/>
  <c r="M341" i="2"/>
  <c r="J342" i="2"/>
  <c r="K342" i="2"/>
  <c r="L342" i="2"/>
  <c r="M342" i="2"/>
  <c r="J343" i="2"/>
  <c r="K343" i="2"/>
  <c r="L343" i="2"/>
  <c r="M343" i="2"/>
  <c r="J344" i="2"/>
  <c r="K344" i="2"/>
  <c r="L344" i="2"/>
  <c r="M344" i="2"/>
  <c r="J345" i="2"/>
  <c r="K345" i="2"/>
  <c r="L345" i="2"/>
  <c r="M345" i="2"/>
  <c r="J346" i="2"/>
  <c r="K346" i="2"/>
  <c r="L346" i="2"/>
  <c r="M346" i="2"/>
  <c r="J347" i="2"/>
  <c r="K347" i="2"/>
  <c r="L347" i="2"/>
  <c r="M347" i="2"/>
  <c r="J348" i="2"/>
  <c r="K348" i="2"/>
  <c r="L348" i="2"/>
  <c r="M348" i="2"/>
  <c r="J349" i="2"/>
  <c r="K349" i="2"/>
  <c r="L349" i="2"/>
  <c r="M349" i="2"/>
  <c r="J350" i="2"/>
  <c r="K350" i="2"/>
  <c r="L350" i="2"/>
  <c r="M350" i="2"/>
  <c r="J351" i="2"/>
  <c r="K351" i="2"/>
  <c r="L351" i="2"/>
  <c r="M351" i="2"/>
  <c r="J352" i="2"/>
  <c r="K352" i="2"/>
  <c r="L352" i="2"/>
  <c r="M352" i="2"/>
  <c r="J353" i="2"/>
  <c r="K353" i="2"/>
  <c r="L353" i="2"/>
  <c r="M353" i="2"/>
  <c r="J354" i="2"/>
  <c r="K354" i="2"/>
  <c r="L354" i="2"/>
  <c r="M354" i="2"/>
  <c r="J355" i="2"/>
  <c r="K355" i="2"/>
  <c r="L355" i="2"/>
  <c r="M355" i="2"/>
  <c r="J356" i="2"/>
  <c r="K356" i="2"/>
  <c r="L356" i="2"/>
  <c r="M356" i="2"/>
  <c r="J357" i="2"/>
  <c r="K357" i="2"/>
  <c r="L357" i="2"/>
  <c r="M357" i="2"/>
  <c r="J358" i="2"/>
  <c r="K358" i="2"/>
  <c r="L358" i="2"/>
  <c r="M358" i="2"/>
  <c r="J359" i="2"/>
  <c r="K359" i="2"/>
  <c r="L359" i="2"/>
  <c r="M359" i="2"/>
  <c r="J360" i="2"/>
  <c r="K360" i="2"/>
  <c r="L360" i="2"/>
  <c r="M360" i="2"/>
  <c r="J361" i="2"/>
  <c r="K361" i="2"/>
  <c r="L361" i="2"/>
  <c r="M361" i="2"/>
  <c r="J362" i="2"/>
  <c r="K362" i="2"/>
  <c r="L362" i="2"/>
  <c r="M362" i="2"/>
  <c r="J363" i="2"/>
  <c r="K363" i="2"/>
  <c r="L363" i="2"/>
  <c r="M363" i="2"/>
  <c r="J364" i="2"/>
  <c r="K364" i="2"/>
  <c r="L364" i="2"/>
  <c r="M364" i="2"/>
  <c r="J365" i="2"/>
  <c r="K365" i="2"/>
  <c r="L365" i="2"/>
  <c r="M365" i="2"/>
  <c r="J366" i="2"/>
  <c r="K366" i="2"/>
  <c r="L366" i="2"/>
  <c r="M366" i="2"/>
  <c r="J367" i="2"/>
  <c r="K367" i="2"/>
  <c r="L367" i="2"/>
  <c r="M367" i="2"/>
  <c r="J368" i="2"/>
  <c r="K368" i="2"/>
  <c r="L368" i="2"/>
  <c r="M368" i="2"/>
  <c r="J369" i="2"/>
  <c r="K369" i="2"/>
  <c r="L369" i="2"/>
  <c r="M369" i="2"/>
  <c r="J370" i="2"/>
  <c r="K370" i="2"/>
  <c r="L370" i="2"/>
  <c r="M370" i="2"/>
  <c r="J371" i="2"/>
  <c r="K371" i="2"/>
  <c r="L371" i="2"/>
  <c r="M371" i="2"/>
  <c r="J372" i="2"/>
  <c r="K372" i="2"/>
  <c r="L372" i="2"/>
  <c r="M372" i="2"/>
  <c r="J373" i="2"/>
  <c r="K373" i="2"/>
  <c r="L373" i="2"/>
  <c r="M373" i="2"/>
  <c r="J374" i="2"/>
  <c r="K374" i="2"/>
  <c r="L374" i="2"/>
  <c r="M374" i="2"/>
  <c r="J375" i="2"/>
  <c r="K375" i="2"/>
  <c r="L375" i="2"/>
  <c r="M375" i="2"/>
  <c r="J376" i="2"/>
  <c r="K376" i="2"/>
  <c r="L376" i="2"/>
  <c r="M376" i="2"/>
  <c r="J377" i="2"/>
  <c r="K377" i="2"/>
  <c r="L377" i="2"/>
  <c r="M377" i="2"/>
  <c r="J378" i="2"/>
  <c r="K378" i="2"/>
  <c r="L378" i="2"/>
  <c r="M378" i="2"/>
  <c r="J379" i="2"/>
  <c r="K379" i="2"/>
  <c r="L379" i="2"/>
  <c r="M379" i="2"/>
  <c r="J380" i="2"/>
  <c r="K380" i="2"/>
  <c r="L380" i="2"/>
  <c r="M380" i="2"/>
  <c r="J381" i="2"/>
  <c r="K381" i="2"/>
  <c r="L381" i="2"/>
  <c r="M381" i="2"/>
  <c r="J382" i="2"/>
  <c r="K382" i="2"/>
  <c r="L382" i="2"/>
  <c r="M382" i="2"/>
  <c r="J383" i="2"/>
  <c r="K383" i="2"/>
  <c r="L383" i="2"/>
  <c r="M383" i="2"/>
  <c r="J384" i="2"/>
  <c r="K384" i="2"/>
  <c r="L384" i="2"/>
  <c r="M384" i="2"/>
  <c r="J385" i="2"/>
  <c r="K385" i="2"/>
  <c r="L385" i="2"/>
  <c r="M385" i="2"/>
  <c r="J386" i="2"/>
  <c r="K386" i="2"/>
  <c r="L386" i="2"/>
  <c r="M386" i="2"/>
  <c r="J387" i="2"/>
  <c r="K387" i="2"/>
  <c r="L387" i="2"/>
  <c r="M387" i="2"/>
  <c r="J388" i="2"/>
  <c r="K388" i="2"/>
  <c r="L388" i="2"/>
  <c r="M388" i="2"/>
  <c r="J389" i="2"/>
  <c r="K389" i="2"/>
  <c r="L389" i="2"/>
  <c r="M389" i="2"/>
  <c r="J390" i="2"/>
  <c r="K390" i="2"/>
  <c r="L390" i="2"/>
  <c r="M390" i="2"/>
  <c r="J391" i="2"/>
  <c r="K391" i="2"/>
  <c r="L391" i="2"/>
  <c r="M391" i="2"/>
  <c r="J392" i="2"/>
  <c r="K392" i="2"/>
  <c r="L392" i="2"/>
  <c r="M392" i="2"/>
  <c r="J393" i="2"/>
  <c r="K393" i="2"/>
  <c r="L393" i="2"/>
  <c r="M393" i="2"/>
  <c r="J394" i="2"/>
  <c r="K394" i="2"/>
  <c r="L394" i="2"/>
  <c r="M394" i="2"/>
  <c r="J395" i="2"/>
  <c r="K395" i="2"/>
  <c r="L395" i="2"/>
  <c r="M395" i="2"/>
  <c r="J396" i="2"/>
  <c r="K396" i="2"/>
  <c r="L396" i="2"/>
  <c r="M396" i="2"/>
  <c r="J397" i="2"/>
  <c r="K397" i="2"/>
  <c r="L397" i="2"/>
  <c r="M397" i="2"/>
  <c r="J398" i="2"/>
  <c r="K398" i="2"/>
  <c r="L398" i="2"/>
  <c r="M398" i="2"/>
  <c r="J399" i="2"/>
  <c r="K399" i="2"/>
  <c r="L399" i="2"/>
  <c r="M399" i="2"/>
  <c r="J400" i="2"/>
  <c r="K400" i="2"/>
  <c r="L400" i="2"/>
  <c r="M400" i="2"/>
  <c r="J401" i="2"/>
  <c r="K401" i="2"/>
  <c r="L401" i="2"/>
  <c r="M401" i="2"/>
  <c r="J402" i="2"/>
  <c r="K402" i="2"/>
  <c r="L402" i="2"/>
  <c r="M402" i="2"/>
  <c r="J403" i="2"/>
  <c r="K403" i="2"/>
  <c r="L403" i="2"/>
  <c r="M403" i="2"/>
  <c r="J404" i="2"/>
  <c r="K404" i="2"/>
  <c r="L404" i="2"/>
  <c r="M404" i="2"/>
  <c r="J405" i="2"/>
  <c r="K405" i="2"/>
  <c r="L405" i="2"/>
  <c r="M405" i="2"/>
  <c r="J406" i="2"/>
  <c r="K406" i="2"/>
  <c r="L406" i="2"/>
  <c r="M406" i="2"/>
  <c r="J407" i="2"/>
  <c r="K407" i="2"/>
  <c r="L407" i="2"/>
  <c r="M407" i="2"/>
  <c r="J408" i="2"/>
  <c r="K408" i="2"/>
  <c r="L408" i="2"/>
  <c r="M408" i="2"/>
  <c r="J409" i="2"/>
  <c r="K409" i="2"/>
  <c r="L409" i="2"/>
  <c r="M409" i="2"/>
  <c r="J410" i="2"/>
  <c r="K410" i="2"/>
  <c r="L410" i="2"/>
  <c r="M410" i="2"/>
  <c r="J411" i="2"/>
  <c r="K411" i="2"/>
  <c r="L411" i="2"/>
  <c r="M411" i="2"/>
  <c r="J412" i="2"/>
  <c r="K412" i="2"/>
  <c r="L412" i="2"/>
  <c r="M412" i="2"/>
  <c r="J413" i="2"/>
  <c r="K413" i="2"/>
  <c r="L413" i="2"/>
  <c r="M413" i="2"/>
  <c r="J414" i="2"/>
  <c r="K414" i="2"/>
  <c r="L414" i="2"/>
  <c r="M414" i="2"/>
  <c r="J415" i="2"/>
  <c r="K415" i="2"/>
  <c r="L415" i="2"/>
  <c r="M415" i="2"/>
  <c r="J416" i="2"/>
  <c r="K416" i="2"/>
  <c r="L416" i="2"/>
  <c r="M416" i="2"/>
  <c r="J417" i="2"/>
  <c r="K417" i="2"/>
  <c r="L417" i="2"/>
  <c r="M417" i="2"/>
  <c r="J418" i="2"/>
  <c r="K418" i="2"/>
  <c r="L418" i="2"/>
  <c r="M418" i="2"/>
  <c r="J419" i="2"/>
  <c r="K419" i="2"/>
  <c r="L419" i="2"/>
  <c r="M419" i="2"/>
  <c r="J420" i="2"/>
  <c r="K420" i="2"/>
  <c r="L420" i="2"/>
  <c r="M420" i="2"/>
  <c r="J421" i="2"/>
  <c r="K421" i="2"/>
  <c r="L421" i="2"/>
  <c r="M421" i="2"/>
  <c r="J422" i="2"/>
  <c r="K422" i="2"/>
  <c r="L422" i="2"/>
  <c r="M422" i="2"/>
  <c r="J423" i="2"/>
  <c r="K423" i="2"/>
  <c r="L423" i="2"/>
  <c r="M423" i="2"/>
  <c r="J424" i="2"/>
  <c r="K424" i="2"/>
  <c r="L424" i="2"/>
  <c r="M424" i="2"/>
  <c r="J425" i="2"/>
  <c r="K425" i="2"/>
  <c r="L425" i="2"/>
  <c r="M425" i="2"/>
  <c r="J426" i="2"/>
  <c r="K426" i="2"/>
  <c r="L426" i="2"/>
  <c r="M426" i="2"/>
  <c r="J427" i="2"/>
  <c r="K427" i="2"/>
  <c r="L427" i="2"/>
  <c r="M427" i="2"/>
  <c r="J428" i="2"/>
  <c r="K428" i="2"/>
  <c r="L428" i="2"/>
  <c r="M428" i="2"/>
  <c r="J429" i="2"/>
  <c r="K429" i="2"/>
  <c r="L429" i="2"/>
  <c r="M429" i="2"/>
  <c r="J430" i="2"/>
  <c r="K430" i="2"/>
  <c r="L430" i="2"/>
  <c r="M430" i="2"/>
  <c r="J431" i="2"/>
  <c r="K431" i="2"/>
  <c r="L431" i="2"/>
  <c r="M431" i="2"/>
  <c r="J432" i="2"/>
  <c r="K432" i="2"/>
  <c r="L432" i="2"/>
  <c r="M432" i="2"/>
  <c r="J433" i="2"/>
  <c r="K433" i="2"/>
  <c r="L433" i="2"/>
  <c r="M433" i="2"/>
  <c r="J434" i="2"/>
  <c r="K434" i="2"/>
  <c r="L434" i="2"/>
  <c r="M434" i="2"/>
  <c r="J435" i="2"/>
  <c r="K435" i="2"/>
  <c r="L435" i="2"/>
  <c r="M435" i="2"/>
  <c r="J436" i="2"/>
  <c r="K436" i="2"/>
  <c r="L436" i="2"/>
  <c r="M436" i="2"/>
  <c r="J437" i="2"/>
  <c r="K437" i="2"/>
  <c r="L437" i="2"/>
  <c r="M437" i="2"/>
  <c r="J438" i="2"/>
  <c r="K438" i="2"/>
  <c r="L438" i="2"/>
  <c r="M438" i="2"/>
  <c r="J439" i="2"/>
  <c r="K439" i="2"/>
  <c r="L439" i="2"/>
  <c r="M439" i="2"/>
  <c r="J440" i="2"/>
  <c r="K440" i="2"/>
  <c r="L440" i="2"/>
  <c r="M440" i="2"/>
  <c r="J441" i="2"/>
  <c r="K441" i="2"/>
  <c r="L441" i="2"/>
  <c r="M441" i="2"/>
  <c r="J442" i="2"/>
  <c r="K442" i="2"/>
  <c r="L442" i="2"/>
  <c r="M442" i="2"/>
  <c r="J443" i="2"/>
  <c r="K443" i="2"/>
  <c r="L443" i="2"/>
  <c r="M443" i="2"/>
  <c r="J444" i="2"/>
  <c r="K444" i="2"/>
  <c r="L444" i="2"/>
  <c r="M444" i="2"/>
  <c r="J445" i="2"/>
  <c r="K445" i="2"/>
  <c r="L445" i="2"/>
  <c r="M445" i="2"/>
  <c r="J446" i="2"/>
  <c r="K446" i="2"/>
  <c r="L446" i="2"/>
  <c r="M446" i="2"/>
  <c r="J447" i="2"/>
  <c r="K447" i="2"/>
  <c r="L447" i="2"/>
  <c r="M447" i="2"/>
  <c r="J448" i="2"/>
  <c r="K448" i="2"/>
  <c r="L448" i="2"/>
  <c r="M448" i="2"/>
  <c r="J449" i="2"/>
  <c r="K449" i="2"/>
  <c r="L449" i="2"/>
  <c r="M449" i="2"/>
  <c r="J450" i="2"/>
  <c r="K450" i="2"/>
  <c r="L450" i="2"/>
  <c r="M450" i="2"/>
  <c r="J451" i="2"/>
  <c r="K451" i="2"/>
  <c r="L451" i="2"/>
  <c r="M451" i="2"/>
  <c r="J452" i="2"/>
  <c r="K452" i="2"/>
  <c r="L452" i="2"/>
  <c r="M452" i="2"/>
  <c r="J453" i="2"/>
  <c r="K453" i="2"/>
  <c r="L453" i="2"/>
  <c r="M453" i="2"/>
  <c r="J454" i="2"/>
  <c r="K454" i="2"/>
  <c r="L454" i="2"/>
  <c r="M454" i="2"/>
  <c r="J455" i="2"/>
  <c r="K455" i="2"/>
  <c r="L455" i="2"/>
  <c r="M455" i="2"/>
  <c r="J456" i="2"/>
  <c r="K456" i="2"/>
  <c r="L456" i="2"/>
  <c r="M456" i="2"/>
  <c r="J457" i="2"/>
  <c r="K457" i="2"/>
  <c r="L457" i="2"/>
  <c r="M457" i="2"/>
  <c r="J458" i="2"/>
  <c r="K458" i="2"/>
  <c r="L458" i="2"/>
  <c r="M458" i="2"/>
  <c r="J459" i="2"/>
  <c r="K459" i="2"/>
  <c r="L459" i="2"/>
  <c r="M459" i="2"/>
  <c r="J460" i="2"/>
  <c r="K460" i="2"/>
  <c r="L460" i="2"/>
  <c r="M460" i="2"/>
  <c r="J461" i="2"/>
  <c r="K461" i="2"/>
  <c r="L461" i="2"/>
  <c r="M461" i="2"/>
  <c r="J462" i="2"/>
  <c r="K462" i="2"/>
  <c r="L462" i="2"/>
  <c r="M462" i="2"/>
  <c r="J463" i="2"/>
  <c r="K463" i="2"/>
  <c r="L463" i="2"/>
  <c r="M463" i="2"/>
  <c r="J464" i="2"/>
  <c r="K464" i="2"/>
  <c r="L464" i="2"/>
  <c r="M464" i="2"/>
  <c r="J465" i="2"/>
  <c r="K465" i="2"/>
  <c r="L465" i="2"/>
  <c r="M465" i="2"/>
  <c r="J466" i="2"/>
  <c r="K466" i="2"/>
  <c r="L466" i="2"/>
  <c r="M466" i="2"/>
  <c r="J467" i="2"/>
  <c r="K467" i="2"/>
  <c r="L467" i="2"/>
  <c r="M467" i="2"/>
  <c r="J468" i="2"/>
  <c r="K468" i="2"/>
  <c r="L468" i="2"/>
  <c r="M468" i="2"/>
  <c r="J469" i="2"/>
  <c r="K469" i="2"/>
  <c r="L469" i="2"/>
  <c r="M469" i="2"/>
  <c r="J470" i="2"/>
  <c r="K470" i="2"/>
  <c r="L470" i="2"/>
  <c r="M470" i="2"/>
  <c r="J471" i="2"/>
  <c r="K471" i="2"/>
  <c r="L471" i="2"/>
  <c r="M471" i="2"/>
  <c r="J472" i="2"/>
  <c r="K472" i="2"/>
  <c r="L472" i="2"/>
  <c r="M472" i="2"/>
  <c r="J473" i="2"/>
  <c r="K473" i="2"/>
  <c r="L473" i="2"/>
  <c r="M473" i="2"/>
  <c r="J474" i="2"/>
  <c r="K474" i="2"/>
  <c r="L474" i="2"/>
  <c r="M474" i="2"/>
  <c r="J475" i="2"/>
  <c r="K475" i="2"/>
  <c r="L475" i="2"/>
  <c r="M475" i="2"/>
  <c r="J476" i="2"/>
  <c r="K476" i="2"/>
  <c r="L476" i="2"/>
  <c r="M476" i="2"/>
  <c r="J477" i="2"/>
  <c r="K477" i="2"/>
  <c r="L477" i="2"/>
  <c r="M477" i="2"/>
  <c r="J478" i="2"/>
  <c r="K478" i="2"/>
  <c r="L478" i="2"/>
  <c r="M478" i="2"/>
  <c r="J479" i="2"/>
  <c r="K479" i="2"/>
  <c r="L479" i="2"/>
  <c r="M479" i="2"/>
  <c r="J480" i="2"/>
  <c r="K480" i="2"/>
  <c r="L480" i="2"/>
  <c r="M480" i="2"/>
  <c r="J481" i="2"/>
  <c r="K481" i="2"/>
  <c r="L481" i="2"/>
  <c r="M481" i="2"/>
  <c r="J482" i="2"/>
  <c r="K482" i="2"/>
  <c r="L482" i="2"/>
  <c r="M482" i="2"/>
  <c r="J483" i="2"/>
  <c r="K483" i="2"/>
  <c r="L483" i="2"/>
  <c r="M483" i="2"/>
  <c r="J484" i="2"/>
  <c r="K484" i="2"/>
  <c r="L484" i="2"/>
  <c r="M484" i="2"/>
  <c r="J485" i="2"/>
  <c r="K485" i="2"/>
  <c r="L485" i="2"/>
  <c r="M485" i="2"/>
  <c r="J486" i="2"/>
  <c r="K486" i="2"/>
  <c r="L486" i="2"/>
  <c r="M486" i="2"/>
  <c r="J487" i="2"/>
  <c r="K487" i="2"/>
  <c r="L487" i="2"/>
  <c r="M487" i="2"/>
  <c r="J488" i="2"/>
  <c r="K488" i="2"/>
  <c r="L488" i="2"/>
  <c r="M488" i="2"/>
  <c r="J489" i="2"/>
  <c r="K489" i="2"/>
  <c r="L489" i="2"/>
  <c r="M489" i="2"/>
  <c r="J490" i="2"/>
  <c r="K490" i="2"/>
  <c r="L490" i="2"/>
  <c r="M490" i="2"/>
  <c r="J491" i="2"/>
  <c r="K491" i="2"/>
  <c r="L491" i="2"/>
  <c r="M491" i="2"/>
  <c r="J492" i="2"/>
  <c r="K492" i="2"/>
  <c r="L492" i="2"/>
  <c r="M492" i="2"/>
  <c r="J493" i="2"/>
  <c r="K493" i="2"/>
  <c r="L493" i="2"/>
  <c r="M493" i="2"/>
  <c r="J494" i="2"/>
  <c r="K494" i="2"/>
  <c r="L494" i="2"/>
  <c r="M494" i="2"/>
  <c r="J495" i="2"/>
  <c r="K495" i="2"/>
  <c r="L495" i="2"/>
  <c r="M495" i="2"/>
  <c r="J496" i="2"/>
  <c r="K496" i="2"/>
  <c r="L496" i="2"/>
  <c r="M496" i="2"/>
  <c r="J497" i="2"/>
  <c r="K497" i="2"/>
  <c r="L497" i="2"/>
  <c r="M497" i="2"/>
  <c r="J498" i="2"/>
  <c r="K498" i="2"/>
  <c r="L498" i="2"/>
  <c r="M498" i="2"/>
  <c r="J499" i="2"/>
  <c r="K499" i="2"/>
  <c r="L499" i="2"/>
  <c r="M499" i="2"/>
  <c r="J500" i="2"/>
  <c r="K500" i="2"/>
  <c r="L500" i="2"/>
  <c r="M500" i="2"/>
  <c r="J501" i="2"/>
  <c r="K501" i="2"/>
  <c r="L501" i="2"/>
  <c r="M501" i="2"/>
  <c r="J502" i="2"/>
  <c r="K502" i="2"/>
  <c r="L502" i="2"/>
  <c r="M502" i="2"/>
  <c r="J503" i="2"/>
  <c r="K503" i="2"/>
  <c r="L503" i="2"/>
  <c r="M503" i="2"/>
  <c r="J504" i="2"/>
  <c r="K504" i="2"/>
  <c r="L504" i="2"/>
  <c r="M504" i="2"/>
  <c r="J505" i="2"/>
  <c r="K505" i="2"/>
  <c r="L505" i="2"/>
  <c r="M505" i="2"/>
  <c r="J506" i="2"/>
  <c r="K506" i="2"/>
  <c r="L506" i="2"/>
  <c r="M506" i="2"/>
  <c r="J507" i="2"/>
  <c r="K507" i="2"/>
  <c r="L507" i="2"/>
  <c r="M507" i="2"/>
  <c r="J508" i="2"/>
  <c r="K508" i="2"/>
  <c r="L508" i="2"/>
  <c r="M508" i="2"/>
  <c r="J509" i="2"/>
  <c r="K509" i="2"/>
  <c r="L509" i="2"/>
  <c r="M509" i="2"/>
  <c r="J510" i="2"/>
  <c r="K510" i="2"/>
  <c r="L510" i="2"/>
  <c r="M510" i="2"/>
  <c r="J511" i="2"/>
  <c r="K511" i="2"/>
  <c r="L511" i="2"/>
  <c r="M511" i="2"/>
  <c r="J512" i="2"/>
  <c r="K512" i="2"/>
  <c r="L512" i="2"/>
  <c r="M512" i="2"/>
  <c r="J513" i="2"/>
  <c r="K513" i="2"/>
  <c r="L513" i="2"/>
  <c r="M513" i="2"/>
  <c r="J514" i="2"/>
  <c r="K514" i="2"/>
  <c r="L514" i="2"/>
  <c r="M514" i="2"/>
  <c r="J515" i="2"/>
  <c r="K515" i="2"/>
  <c r="L515" i="2"/>
  <c r="M515" i="2"/>
  <c r="J516" i="2"/>
  <c r="K516" i="2"/>
  <c r="L516" i="2"/>
  <c r="M516" i="2"/>
  <c r="J517" i="2"/>
  <c r="K517" i="2"/>
  <c r="L517" i="2"/>
  <c r="M517" i="2"/>
  <c r="J518" i="2"/>
  <c r="K518" i="2"/>
  <c r="L518" i="2"/>
  <c r="M518" i="2"/>
  <c r="J519" i="2"/>
  <c r="K519" i="2"/>
  <c r="L519" i="2"/>
  <c r="M519" i="2"/>
  <c r="J520" i="2"/>
  <c r="K520" i="2"/>
  <c r="L520" i="2"/>
  <c r="M520" i="2"/>
  <c r="J521" i="2"/>
  <c r="K521" i="2"/>
  <c r="L521" i="2"/>
  <c r="M521" i="2"/>
  <c r="J522" i="2"/>
  <c r="K522" i="2"/>
  <c r="L522" i="2"/>
  <c r="M522" i="2"/>
  <c r="J523" i="2"/>
  <c r="K523" i="2"/>
  <c r="L523" i="2"/>
  <c r="M523" i="2"/>
  <c r="J524" i="2"/>
  <c r="K524" i="2"/>
  <c r="L524" i="2"/>
  <c r="M524" i="2"/>
  <c r="J525" i="2"/>
  <c r="K525" i="2"/>
  <c r="L525" i="2"/>
  <c r="M525" i="2"/>
  <c r="J526" i="2"/>
  <c r="K526" i="2"/>
  <c r="L526" i="2"/>
  <c r="M526" i="2"/>
  <c r="J527" i="2"/>
  <c r="K527" i="2"/>
  <c r="L527" i="2"/>
  <c r="M527" i="2"/>
  <c r="J528" i="2"/>
  <c r="K528" i="2"/>
  <c r="L528" i="2"/>
  <c r="M528" i="2"/>
  <c r="J529" i="2"/>
  <c r="K529" i="2"/>
  <c r="L529" i="2"/>
  <c r="M529" i="2"/>
  <c r="J530" i="2"/>
  <c r="K530" i="2"/>
  <c r="L530" i="2"/>
  <c r="M530" i="2"/>
  <c r="J531" i="2"/>
  <c r="K531" i="2"/>
  <c r="L531" i="2"/>
  <c r="M531" i="2"/>
  <c r="J532" i="2"/>
  <c r="K532" i="2"/>
  <c r="L532" i="2"/>
  <c r="M532" i="2"/>
  <c r="J533" i="2"/>
  <c r="K533" i="2"/>
  <c r="L533" i="2"/>
  <c r="M533" i="2"/>
  <c r="J534" i="2"/>
  <c r="K534" i="2"/>
  <c r="L534" i="2"/>
  <c r="M534" i="2"/>
  <c r="J535" i="2"/>
  <c r="K535" i="2"/>
  <c r="L535" i="2"/>
  <c r="M535" i="2"/>
  <c r="J536" i="2"/>
  <c r="K536" i="2"/>
  <c r="L536" i="2"/>
  <c r="M536" i="2"/>
  <c r="J537" i="2"/>
  <c r="K537" i="2"/>
  <c r="L537" i="2"/>
  <c r="M537" i="2"/>
  <c r="J538" i="2"/>
  <c r="K538" i="2"/>
  <c r="L538" i="2"/>
  <c r="M538" i="2"/>
  <c r="J539" i="2"/>
  <c r="K539" i="2"/>
  <c r="L539" i="2"/>
  <c r="M539" i="2"/>
  <c r="J540" i="2"/>
  <c r="K540" i="2"/>
  <c r="L540" i="2"/>
  <c r="M540" i="2"/>
  <c r="J541" i="2"/>
  <c r="K541" i="2"/>
  <c r="L541" i="2"/>
  <c r="M541" i="2"/>
  <c r="J542" i="2"/>
  <c r="K542" i="2"/>
  <c r="L542" i="2"/>
  <c r="M542" i="2"/>
  <c r="J543" i="2"/>
  <c r="K543" i="2"/>
  <c r="L543" i="2"/>
  <c r="M543" i="2"/>
  <c r="J544" i="2"/>
  <c r="K544" i="2"/>
  <c r="L544" i="2"/>
  <c r="M544" i="2"/>
  <c r="J545" i="2"/>
  <c r="K545" i="2"/>
  <c r="L545" i="2"/>
  <c r="M545" i="2"/>
  <c r="J546" i="2"/>
  <c r="K546" i="2"/>
  <c r="L546" i="2"/>
  <c r="M546" i="2"/>
  <c r="J547" i="2"/>
  <c r="K547" i="2"/>
  <c r="L547" i="2"/>
  <c r="M547" i="2"/>
  <c r="J548" i="2"/>
  <c r="K548" i="2"/>
  <c r="L548" i="2"/>
  <c r="M548" i="2"/>
  <c r="J549" i="2"/>
  <c r="K549" i="2"/>
  <c r="L549" i="2"/>
  <c r="M549" i="2"/>
  <c r="J550" i="2"/>
  <c r="K550" i="2"/>
  <c r="L550" i="2"/>
  <c r="M550" i="2"/>
  <c r="J551" i="2"/>
  <c r="K551" i="2"/>
  <c r="L551" i="2"/>
  <c r="M551" i="2"/>
  <c r="J552" i="2"/>
  <c r="K552" i="2"/>
  <c r="L552" i="2"/>
  <c r="M552" i="2"/>
  <c r="J553" i="2"/>
  <c r="K553" i="2"/>
  <c r="L553" i="2"/>
  <c r="M553" i="2"/>
  <c r="J554" i="2"/>
  <c r="K554" i="2"/>
  <c r="L554" i="2"/>
  <c r="M554" i="2"/>
  <c r="J555" i="2"/>
  <c r="K555" i="2"/>
  <c r="L555" i="2"/>
  <c r="M555" i="2"/>
  <c r="J556" i="2"/>
  <c r="K556" i="2"/>
  <c r="L556" i="2"/>
  <c r="M556" i="2"/>
  <c r="J557" i="2"/>
  <c r="K557" i="2"/>
  <c r="L557" i="2"/>
  <c r="M557" i="2"/>
  <c r="J558" i="2"/>
  <c r="K558" i="2"/>
  <c r="L558" i="2"/>
  <c r="M558" i="2"/>
  <c r="J559" i="2"/>
  <c r="K559" i="2"/>
  <c r="L559" i="2"/>
  <c r="M559" i="2"/>
  <c r="J560" i="2"/>
  <c r="K560" i="2"/>
  <c r="L560" i="2"/>
  <c r="M560" i="2"/>
  <c r="J561" i="2"/>
  <c r="K561" i="2"/>
  <c r="L561" i="2"/>
  <c r="M561" i="2"/>
  <c r="J562" i="2"/>
  <c r="K562" i="2"/>
  <c r="L562" i="2"/>
  <c r="M562" i="2"/>
  <c r="J563" i="2"/>
  <c r="K563" i="2"/>
  <c r="L563" i="2"/>
  <c r="M563" i="2"/>
  <c r="J564" i="2"/>
  <c r="K564" i="2"/>
  <c r="L564" i="2"/>
  <c r="M564" i="2"/>
  <c r="J565" i="2"/>
  <c r="K565" i="2"/>
  <c r="L565" i="2"/>
  <c r="M565" i="2"/>
  <c r="J566" i="2"/>
  <c r="K566" i="2"/>
  <c r="L566" i="2"/>
  <c r="M566" i="2"/>
  <c r="J567" i="2"/>
  <c r="K567" i="2"/>
  <c r="L567" i="2"/>
  <c r="M567" i="2"/>
  <c r="J568" i="2"/>
  <c r="K568" i="2"/>
  <c r="L568" i="2"/>
  <c r="M568" i="2"/>
  <c r="J569" i="2"/>
  <c r="K569" i="2"/>
  <c r="L569" i="2"/>
  <c r="M569" i="2"/>
  <c r="J570" i="2"/>
  <c r="K570" i="2"/>
  <c r="L570" i="2"/>
  <c r="M570" i="2"/>
  <c r="J571" i="2"/>
  <c r="K571" i="2"/>
  <c r="L571" i="2"/>
  <c r="M571" i="2"/>
  <c r="J572" i="2"/>
  <c r="K572" i="2"/>
  <c r="L572" i="2"/>
  <c r="M572" i="2"/>
  <c r="J573" i="2"/>
  <c r="K573" i="2"/>
  <c r="L573" i="2"/>
  <c r="M573" i="2"/>
  <c r="J574" i="2"/>
  <c r="K574" i="2"/>
  <c r="L574" i="2"/>
  <c r="M574" i="2"/>
  <c r="J575" i="2"/>
  <c r="K575" i="2"/>
  <c r="L575" i="2"/>
  <c r="M575" i="2"/>
  <c r="J576" i="2"/>
  <c r="K576" i="2"/>
  <c r="L576" i="2"/>
  <c r="M576" i="2"/>
  <c r="J577" i="2"/>
  <c r="K577" i="2"/>
  <c r="L577" i="2"/>
  <c r="M577" i="2"/>
  <c r="J578" i="2"/>
  <c r="K578" i="2"/>
  <c r="L578" i="2"/>
  <c r="M578" i="2"/>
  <c r="J579" i="2"/>
  <c r="K579" i="2"/>
  <c r="L579" i="2"/>
  <c r="M579" i="2"/>
  <c r="J580" i="2"/>
  <c r="K580" i="2"/>
  <c r="L580" i="2"/>
  <c r="M580" i="2"/>
  <c r="J581" i="2"/>
  <c r="K581" i="2"/>
  <c r="L581" i="2"/>
  <c r="M581" i="2"/>
  <c r="J582" i="2"/>
  <c r="K582" i="2"/>
  <c r="L582" i="2"/>
  <c r="M582" i="2"/>
  <c r="J583" i="2"/>
  <c r="K583" i="2"/>
  <c r="L583" i="2"/>
  <c r="M583" i="2"/>
  <c r="J584" i="2"/>
  <c r="K584" i="2"/>
  <c r="L584" i="2"/>
  <c r="M584" i="2"/>
  <c r="J585" i="2"/>
  <c r="K585" i="2"/>
  <c r="L585" i="2"/>
  <c r="M585" i="2"/>
  <c r="J586" i="2"/>
  <c r="K586" i="2"/>
  <c r="L586" i="2"/>
  <c r="M586" i="2"/>
  <c r="J587" i="2"/>
  <c r="K587" i="2"/>
  <c r="L587" i="2"/>
  <c r="M587" i="2"/>
  <c r="J588" i="2"/>
  <c r="K588" i="2"/>
  <c r="L588" i="2"/>
  <c r="M588" i="2"/>
  <c r="J589" i="2"/>
  <c r="K589" i="2"/>
  <c r="L589" i="2"/>
  <c r="M589" i="2"/>
  <c r="J590" i="2"/>
  <c r="K590" i="2"/>
  <c r="L590" i="2"/>
  <c r="M590" i="2"/>
  <c r="J591" i="2"/>
  <c r="K591" i="2"/>
  <c r="L591" i="2"/>
  <c r="M591" i="2"/>
  <c r="J592" i="2"/>
  <c r="K592" i="2"/>
  <c r="L592" i="2"/>
  <c r="M592" i="2"/>
  <c r="J593" i="2"/>
  <c r="K593" i="2"/>
  <c r="L593" i="2"/>
  <c r="M593" i="2"/>
  <c r="J594" i="2"/>
  <c r="K594" i="2"/>
  <c r="L594" i="2"/>
  <c r="M594" i="2"/>
  <c r="J595" i="2"/>
  <c r="K595" i="2"/>
  <c r="L595" i="2"/>
  <c r="M595" i="2"/>
  <c r="J596" i="2"/>
  <c r="K596" i="2"/>
  <c r="L596" i="2"/>
  <c r="M596" i="2"/>
  <c r="J597" i="2"/>
  <c r="K597" i="2"/>
  <c r="L597" i="2"/>
  <c r="M597" i="2"/>
  <c r="J598" i="2"/>
  <c r="K598" i="2"/>
  <c r="L598" i="2"/>
  <c r="M598" i="2"/>
  <c r="J599" i="2"/>
  <c r="K599" i="2"/>
  <c r="L599" i="2"/>
  <c r="M599" i="2"/>
  <c r="J600" i="2"/>
  <c r="K600" i="2"/>
  <c r="L600" i="2"/>
  <c r="M600" i="2"/>
  <c r="J601" i="2"/>
  <c r="K601" i="2"/>
  <c r="L601" i="2"/>
  <c r="M601" i="2"/>
  <c r="J602" i="2"/>
  <c r="K602" i="2"/>
  <c r="L602" i="2"/>
  <c r="M602" i="2"/>
  <c r="J603" i="2"/>
  <c r="K603" i="2"/>
  <c r="L603" i="2"/>
  <c r="M603" i="2"/>
  <c r="J604" i="2"/>
  <c r="K604" i="2"/>
  <c r="L604" i="2"/>
  <c r="M604" i="2"/>
  <c r="J605" i="2"/>
  <c r="K605" i="2"/>
  <c r="L605" i="2"/>
  <c r="M605" i="2"/>
  <c r="J606" i="2"/>
  <c r="K606" i="2"/>
  <c r="L606" i="2"/>
  <c r="M606" i="2"/>
  <c r="J607" i="2"/>
  <c r="K607" i="2"/>
  <c r="L607" i="2"/>
  <c r="M607" i="2"/>
  <c r="J608" i="2"/>
  <c r="K608" i="2"/>
  <c r="L608" i="2"/>
  <c r="M608" i="2"/>
  <c r="J609" i="2"/>
  <c r="K609" i="2"/>
  <c r="L609" i="2"/>
  <c r="M609" i="2"/>
  <c r="J610" i="2"/>
  <c r="K610" i="2"/>
  <c r="L610" i="2"/>
  <c r="M610" i="2"/>
  <c r="J611" i="2"/>
  <c r="K611" i="2"/>
  <c r="L611" i="2"/>
  <c r="M611" i="2"/>
  <c r="J612" i="2"/>
  <c r="K612" i="2"/>
  <c r="L612" i="2"/>
  <c r="M612" i="2"/>
  <c r="J613" i="2"/>
  <c r="K613" i="2"/>
  <c r="L613" i="2"/>
  <c r="M613" i="2"/>
  <c r="J614" i="2"/>
  <c r="K614" i="2"/>
  <c r="L614" i="2"/>
  <c r="M614" i="2"/>
  <c r="J615" i="2"/>
  <c r="K615" i="2"/>
  <c r="L615" i="2"/>
  <c r="M615" i="2"/>
  <c r="J616" i="2"/>
  <c r="K616" i="2"/>
  <c r="L616" i="2"/>
  <c r="M616" i="2"/>
  <c r="J617" i="2"/>
  <c r="K617" i="2"/>
  <c r="L617" i="2"/>
  <c r="M617" i="2"/>
  <c r="J618" i="2"/>
  <c r="K618" i="2"/>
  <c r="L618" i="2"/>
  <c r="M618" i="2"/>
  <c r="J619" i="2"/>
  <c r="K619" i="2"/>
  <c r="L619" i="2"/>
  <c r="M619" i="2"/>
  <c r="J620" i="2"/>
  <c r="K620" i="2"/>
  <c r="L620" i="2"/>
  <c r="M620" i="2"/>
  <c r="J621" i="2"/>
  <c r="K621" i="2"/>
  <c r="L621" i="2"/>
  <c r="M621" i="2"/>
  <c r="J622" i="2"/>
  <c r="K622" i="2"/>
  <c r="L622" i="2"/>
  <c r="M622" i="2"/>
  <c r="J623" i="2"/>
  <c r="K623" i="2"/>
  <c r="L623" i="2"/>
  <c r="M623" i="2"/>
  <c r="J624" i="2"/>
  <c r="K624" i="2"/>
  <c r="L624" i="2"/>
  <c r="M624" i="2"/>
  <c r="J625" i="2"/>
  <c r="K625" i="2"/>
  <c r="L625" i="2"/>
  <c r="M625" i="2"/>
  <c r="J626" i="2"/>
  <c r="K626" i="2"/>
  <c r="L626" i="2"/>
  <c r="M626" i="2"/>
  <c r="J627" i="2"/>
  <c r="K627" i="2"/>
  <c r="L627" i="2"/>
  <c r="M627" i="2"/>
  <c r="J628" i="2"/>
  <c r="K628" i="2"/>
  <c r="L628" i="2"/>
  <c r="M628" i="2"/>
  <c r="J629" i="2"/>
  <c r="K629" i="2"/>
  <c r="L629" i="2"/>
  <c r="M629" i="2"/>
  <c r="J630" i="2"/>
  <c r="K630" i="2"/>
  <c r="L630" i="2"/>
  <c r="M630" i="2"/>
  <c r="J631" i="2"/>
  <c r="K631" i="2"/>
  <c r="L631" i="2"/>
  <c r="M631" i="2"/>
  <c r="J632" i="2"/>
  <c r="K632" i="2"/>
  <c r="L632" i="2"/>
  <c r="M632" i="2"/>
  <c r="J633" i="2"/>
  <c r="K633" i="2"/>
  <c r="L633" i="2"/>
  <c r="M633" i="2"/>
  <c r="J634" i="2"/>
  <c r="K634" i="2"/>
  <c r="L634" i="2"/>
  <c r="M634" i="2"/>
  <c r="J635" i="2"/>
  <c r="K635" i="2"/>
  <c r="L635" i="2"/>
  <c r="M635" i="2"/>
  <c r="J636" i="2"/>
  <c r="K636" i="2"/>
  <c r="L636" i="2"/>
  <c r="M636" i="2"/>
  <c r="J637" i="2"/>
  <c r="K637" i="2"/>
  <c r="L637" i="2"/>
  <c r="M637" i="2"/>
  <c r="J638" i="2"/>
  <c r="K638" i="2"/>
  <c r="L638" i="2"/>
  <c r="M638" i="2"/>
  <c r="J639" i="2"/>
  <c r="K639" i="2"/>
  <c r="L639" i="2"/>
  <c r="M639" i="2"/>
  <c r="J640" i="2"/>
  <c r="K640" i="2"/>
  <c r="L640" i="2"/>
  <c r="M640" i="2"/>
  <c r="J641" i="2"/>
  <c r="K641" i="2"/>
  <c r="L641" i="2"/>
  <c r="M641" i="2"/>
  <c r="J642" i="2"/>
  <c r="K642" i="2"/>
  <c r="L642" i="2"/>
  <c r="M642" i="2"/>
  <c r="J643" i="2"/>
  <c r="K643" i="2"/>
  <c r="L643" i="2"/>
  <c r="M643" i="2"/>
  <c r="J644" i="2"/>
  <c r="K644" i="2"/>
  <c r="L644" i="2"/>
  <c r="M644" i="2"/>
  <c r="J645" i="2"/>
  <c r="K645" i="2"/>
  <c r="L645" i="2"/>
  <c r="M645" i="2"/>
  <c r="J646" i="2"/>
  <c r="K646" i="2"/>
  <c r="L646" i="2"/>
  <c r="M646" i="2"/>
  <c r="J647" i="2"/>
  <c r="K647" i="2"/>
  <c r="L647" i="2"/>
  <c r="M647" i="2"/>
  <c r="J648" i="2"/>
  <c r="K648" i="2"/>
  <c r="L648" i="2"/>
  <c r="M648" i="2"/>
  <c r="J649" i="2"/>
  <c r="K649" i="2"/>
  <c r="L649" i="2"/>
  <c r="M649" i="2"/>
  <c r="J650" i="2"/>
  <c r="K650" i="2"/>
  <c r="L650" i="2"/>
  <c r="M650" i="2"/>
  <c r="J651" i="2"/>
  <c r="K651" i="2"/>
  <c r="L651" i="2"/>
  <c r="M651" i="2"/>
  <c r="J652" i="2"/>
  <c r="K652" i="2"/>
  <c r="L652" i="2"/>
  <c r="M652" i="2"/>
  <c r="J653" i="2"/>
  <c r="K653" i="2"/>
  <c r="L653" i="2"/>
  <c r="M653" i="2"/>
  <c r="J654" i="2"/>
  <c r="K654" i="2"/>
  <c r="L654" i="2"/>
  <c r="M654" i="2"/>
  <c r="J655" i="2"/>
  <c r="K655" i="2"/>
  <c r="L655" i="2"/>
  <c r="M655" i="2"/>
  <c r="J656" i="2"/>
  <c r="K656" i="2"/>
  <c r="L656" i="2"/>
  <c r="M656" i="2"/>
  <c r="J657" i="2"/>
  <c r="K657" i="2"/>
  <c r="L657" i="2"/>
  <c r="M657" i="2"/>
  <c r="J658" i="2"/>
  <c r="K658" i="2"/>
  <c r="L658" i="2"/>
  <c r="M658" i="2"/>
  <c r="J659" i="2"/>
  <c r="K659" i="2"/>
  <c r="L659" i="2"/>
  <c r="M659" i="2"/>
  <c r="J660" i="2"/>
  <c r="K660" i="2"/>
  <c r="L660" i="2"/>
  <c r="M660" i="2"/>
  <c r="J661" i="2"/>
  <c r="K661" i="2"/>
  <c r="L661" i="2"/>
  <c r="M661" i="2"/>
  <c r="J662" i="2"/>
  <c r="K662" i="2"/>
  <c r="L662" i="2"/>
  <c r="M662" i="2"/>
  <c r="J663" i="2"/>
  <c r="K663" i="2"/>
  <c r="L663" i="2"/>
  <c r="M663" i="2"/>
  <c r="J664" i="2"/>
  <c r="K664" i="2"/>
  <c r="L664" i="2"/>
  <c r="M664" i="2"/>
  <c r="J665" i="2"/>
  <c r="K665" i="2"/>
  <c r="L665" i="2"/>
  <c r="M665" i="2"/>
  <c r="J666" i="2"/>
  <c r="K666" i="2"/>
  <c r="L666" i="2"/>
  <c r="M666" i="2"/>
  <c r="J667" i="2"/>
  <c r="K667" i="2"/>
  <c r="L667" i="2"/>
  <c r="M667" i="2"/>
  <c r="J668" i="2"/>
  <c r="K668" i="2"/>
  <c r="L668" i="2"/>
  <c r="M668" i="2"/>
  <c r="J669" i="2"/>
  <c r="K669" i="2"/>
  <c r="L669" i="2"/>
  <c r="M669" i="2"/>
  <c r="J670" i="2"/>
  <c r="K670" i="2"/>
  <c r="L670" i="2"/>
  <c r="M670" i="2"/>
  <c r="J671" i="2"/>
  <c r="K671" i="2"/>
  <c r="L671" i="2"/>
  <c r="M671" i="2"/>
  <c r="J672" i="2"/>
  <c r="K672" i="2"/>
  <c r="L672" i="2"/>
  <c r="M672" i="2"/>
  <c r="J673" i="2"/>
  <c r="K673" i="2"/>
  <c r="L673" i="2"/>
  <c r="M673" i="2"/>
  <c r="J674" i="2"/>
  <c r="K674" i="2"/>
  <c r="L674" i="2"/>
  <c r="M674" i="2"/>
  <c r="J675" i="2"/>
  <c r="K675" i="2"/>
  <c r="L675" i="2"/>
  <c r="M675" i="2"/>
  <c r="J676" i="2"/>
  <c r="K676" i="2"/>
  <c r="L676" i="2"/>
  <c r="M676" i="2"/>
  <c r="J677" i="2"/>
  <c r="K677" i="2"/>
  <c r="L677" i="2"/>
  <c r="M677" i="2"/>
  <c r="J678" i="2"/>
  <c r="K678" i="2"/>
  <c r="L678" i="2"/>
  <c r="M678" i="2"/>
  <c r="J679" i="2"/>
  <c r="K679" i="2"/>
  <c r="L679" i="2"/>
  <c r="M679" i="2"/>
  <c r="J680" i="2"/>
  <c r="K680" i="2"/>
  <c r="L680" i="2"/>
  <c r="M680" i="2"/>
  <c r="J681" i="2"/>
  <c r="K681" i="2"/>
  <c r="L681" i="2"/>
  <c r="M681" i="2"/>
  <c r="J682" i="2"/>
  <c r="K682" i="2"/>
  <c r="L682" i="2"/>
  <c r="M682" i="2"/>
  <c r="J683" i="2"/>
  <c r="K683" i="2"/>
  <c r="L683" i="2"/>
  <c r="M683" i="2"/>
  <c r="J684" i="2"/>
  <c r="K684" i="2"/>
  <c r="L684" i="2"/>
  <c r="M684" i="2"/>
  <c r="J685" i="2"/>
  <c r="K685" i="2"/>
  <c r="L685" i="2"/>
  <c r="M685" i="2"/>
  <c r="J686" i="2"/>
  <c r="K686" i="2"/>
  <c r="L686" i="2"/>
  <c r="M686" i="2"/>
  <c r="J687" i="2"/>
  <c r="K687" i="2"/>
  <c r="L687" i="2"/>
  <c r="M687" i="2"/>
  <c r="J688" i="2"/>
  <c r="K688" i="2"/>
  <c r="L688" i="2"/>
  <c r="M688" i="2"/>
  <c r="J689" i="2"/>
  <c r="K689" i="2"/>
  <c r="L689" i="2"/>
  <c r="M689" i="2"/>
  <c r="J690" i="2"/>
  <c r="K690" i="2"/>
  <c r="L690" i="2"/>
  <c r="M690" i="2"/>
  <c r="J691" i="2"/>
  <c r="K691" i="2"/>
  <c r="L691" i="2"/>
  <c r="M691" i="2"/>
  <c r="J692" i="2"/>
  <c r="K692" i="2"/>
  <c r="L692" i="2"/>
  <c r="M692" i="2"/>
  <c r="J693" i="2"/>
  <c r="K693" i="2"/>
  <c r="L693" i="2"/>
  <c r="M693" i="2"/>
  <c r="J694" i="2"/>
  <c r="K694" i="2"/>
  <c r="L694" i="2"/>
  <c r="M694" i="2"/>
  <c r="J695" i="2"/>
  <c r="K695" i="2"/>
  <c r="L695" i="2"/>
  <c r="M695" i="2"/>
  <c r="J696" i="2"/>
  <c r="K696" i="2"/>
  <c r="L696" i="2"/>
  <c r="M696" i="2"/>
  <c r="J697" i="2"/>
  <c r="K697" i="2"/>
  <c r="L697" i="2"/>
  <c r="M697" i="2"/>
  <c r="J698" i="2"/>
  <c r="K698" i="2"/>
  <c r="L698" i="2"/>
  <c r="M698" i="2"/>
  <c r="J699" i="2"/>
  <c r="K699" i="2"/>
  <c r="L699" i="2"/>
  <c r="M699" i="2"/>
  <c r="J700" i="2"/>
  <c r="K700" i="2"/>
  <c r="L700" i="2"/>
  <c r="M700" i="2"/>
  <c r="J701" i="2"/>
  <c r="K701" i="2"/>
  <c r="L701" i="2"/>
  <c r="M701" i="2"/>
  <c r="J702" i="2"/>
  <c r="K702" i="2"/>
  <c r="L702" i="2"/>
  <c r="M702" i="2"/>
  <c r="J703" i="2"/>
  <c r="K703" i="2"/>
  <c r="L703" i="2"/>
  <c r="M703" i="2"/>
  <c r="J704" i="2"/>
  <c r="K704" i="2"/>
  <c r="L704" i="2"/>
  <c r="M704" i="2"/>
  <c r="J705" i="2"/>
  <c r="K705" i="2"/>
  <c r="L705" i="2"/>
  <c r="M705" i="2"/>
  <c r="J706" i="2"/>
  <c r="K706" i="2"/>
  <c r="L706" i="2"/>
  <c r="M706" i="2"/>
  <c r="J707" i="2"/>
  <c r="K707" i="2"/>
  <c r="L707" i="2"/>
  <c r="M707" i="2"/>
  <c r="J708" i="2"/>
  <c r="K708" i="2"/>
  <c r="L708" i="2"/>
  <c r="M708" i="2"/>
  <c r="J709" i="2"/>
  <c r="K709" i="2"/>
  <c r="L709" i="2"/>
  <c r="M709" i="2"/>
  <c r="J710" i="2"/>
  <c r="K710" i="2"/>
  <c r="L710" i="2"/>
  <c r="M710" i="2"/>
  <c r="J711" i="2"/>
  <c r="K711" i="2"/>
  <c r="L711" i="2"/>
  <c r="M711" i="2"/>
  <c r="J712" i="2"/>
  <c r="K712" i="2"/>
  <c r="L712" i="2"/>
  <c r="M712" i="2"/>
  <c r="J713" i="2"/>
  <c r="K713" i="2"/>
  <c r="L713" i="2"/>
  <c r="M713" i="2"/>
  <c r="J714" i="2"/>
  <c r="K714" i="2"/>
  <c r="L714" i="2"/>
  <c r="M714" i="2"/>
  <c r="J715" i="2"/>
  <c r="K715" i="2"/>
  <c r="L715" i="2"/>
  <c r="M715" i="2"/>
  <c r="J716" i="2"/>
  <c r="K716" i="2"/>
  <c r="L716" i="2"/>
  <c r="M716" i="2"/>
  <c r="J717" i="2"/>
  <c r="K717" i="2"/>
  <c r="L717" i="2"/>
  <c r="M717" i="2"/>
  <c r="J718" i="2"/>
  <c r="K718" i="2"/>
  <c r="L718" i="2"/>
  <c r="M718" i="2"/>
  <c r="J719" i="2"/>
  <c r="K719" i="2"/>
  <c r="L719" i="2"/>
  <c r="M719" i="2"/>
  <c r="J720" i="2"/>
  <c r="K720" i="2"/>
  <c r="L720" i="2"/>
  <c r="M720" i="2"/>
  <c r="J721" i="2"/>
  <c r="K721" i="2"/>
  <c r="L721" i="2"/>
  <c r="M721" i="2"/>
  <c r="J722" i="2"/>
  <c r="K722" i="2"/>
  <c r="L722" i="2"/>
  <c r="M722" i="2"/>
  <c r="J723" i="2"/>
  <c r="K723" i="2"/>
  <c r="L723" i="2"/>
  <c r="M723" i="2"/>
  <c r="J724" i="2"/>
  <c r="K724" i="2"/>
  <c r="L724" i="2"/>
  <c r="M724" i="2"/>
  <c r="J725" i="2"/>
  <c r="K725" i="2"/>
  <c r="L725" i="2"/>
  <c r="M725" i="2"/>
  <c r="J726" i="2"/>
  <c r="K726" i="2"/>
  <c r="L726" i="2"/>
  <c r="M726" i="2"/>
  <c r="J727" i="2"/>
  <c r="K727" i="2"/>
  <c r="L727" i="2"/>
  <c r="M727" i="2"/>
  <c r="J728" i="2"/>
  <c r="K728" i="2"/>
  <c r="L728" i="2"/>
  <c r="M728" i="2"/>
  <c r="J729" i="2"/>
  <c r="K729" i="2"/>
  <c r="L729" i="2"/>
  <c r="M729" i="2"/>
  <c r="J730" i="2"/>
  <c r="K730" i="2"/>
  <c r="L730" i="2"/>
  <c r="M730" i="2"/>
  <c r="J731" i="2"/>
  <c r="K731" i="2"/>
  <c r="L731" i="2"/>
  <c r="M731" i="2"/>
  <c r="J732" i="2"/>
  <c r="K732" i="2"/>
  <c r="L732" i="2"/>
  <c r="M732" i="2"/>
  <c r="J733" i="2"/>
  <c r="K733" i="2"/>
  <c r="L733" i="2"/>
  <c r="M733" i="2"/>
  <c r="J734" i="2"/>
  <c r="K734" i="2"/>
  <c r="L734" i="2"/>
  <c r="M734" i="2"/>
  <c r="J735" i="2"/>
  <c r="K735" i="2"/>
  <c r="L735" i="2"/>
  <c r="M735" i="2"/>
  <c r="J736" i="2"/>
  <c r="K736" i="2"/>
  <c r="L736" i="2"/>
  <c r="M736" i="2"/>
  <c r="J737" i="2"/>
  <c r="K737" i="2"/>
  <c r="L737" i="2"/>
  <c r="M737" i="2"/>
  <c r="J738" i="2"/>
  <c r="K738" i="2"/>
  <c r="L738" i="2"/>
  <c r="M738" i="2"/>
  <c r="J739" i="2"/>
  <c r="K739" i="2"/>
  <c r="L739" i="2"/>
  <c r="M739" i="2"/>
  <c r="J740" i="2"/>
  <c r="K740" i="2"/>
  <c r="L740" i="2"/>
  <c r="M740" i="2"/>
  <c r="J741" i="2"/>
  <c r="K741" i="2"/>
  <c r="L741" i="2"/>
  <c r="M741" i="2"/>
  <c r="J742" i="2"/>
  <c r="K742" i="2"/>
  <c r="L742" i="2"/>
  <c r="M742" i="2"/>
  <c r="J743" i="2"/>
  <c r="K743" i="2"/>
  <c r="L743" i="2"/>
  <c r="M743" i="2"/>
  <c r="J744" i="2"/>
  <c r="K744" i="2"/>
  <c r="L744" i="2"/>
  <c r="M744" i="2"/>
  <c r="J745" i="2"/>
  <c r="K745" i="2"/>
  <c r="L745" i="2"/>
  <c r="M745" i="2"/>
  <c r="J746" i="2"/>
  <c r="K746" i="2"/>
  <c r="L746" i="2"/>
  <c r="M746" i="2"/>
  <c r="J747" i="2"/>
  <c r="K747" i="2"/>
  <c r="L747" i="2"/>
  <c r="M747" i="2"/>
  <c r="J748" i="2"/>
  <c r="K748" i="2"/>
  <c r="L748" i="2"/>
  <c r="M748" i="2"/>
  <c r="J749" i="2"/>
  <c r="K749" i="2"/>
  <c r="L749" i="2"/>
  <c r="M749" i="2"/>
  <c r="J750" i="2"/>
  <c r="K750" i="2"/>
  <c r="L750" i="2"/>
  <c r="M750" i="2"/>
  <c r="J751" i="2"/>
  <c r="K751" i="2"/>
  <c r="L751" i="2"/>
  <c r="M751" i="2"/>
  <c r="J752" i="2"/>
  <c r="K752" i="2"/>
  <c r="L752" i="2"/>
  <c r="M752" i="2"/>
  <c r="J753" i="2"/>
  <c r="K753" i="2"/>
  <c r="L753" i="2"/>
  <c r="M753" i="2"/>
  <c r="J754" i="2"/>
  <c r="K754" i="2"/>
  <c r="L754" i="2"/>
  <c r="M754" i="2"/>
  <c r="J755" i="2"/>
  <c r="K755" i="2"/>
  <c r="L755" i="2"/>
  <c r="M755" i="2"/>
  <c r="J756" i="2"/>
  <c r="K756" i="2"/>
  <c r="L756" i="2"/>
  <c r="M756" i="2"/>
  <c r="J757" i="2"/>
  <c r="K757" i="2"/>
  <c r="L757" i="2"/>
  <c r="M757" i="2"/>
  <c r="J758" i="2"/>
  <c r="K758" i="2"/>
  <c r="L758" i="2"/>
  <c r="M758" i="2"/>
  <c r="J759" i="2"/>
  <c r="K759" i="2"/>
  <c r="L759" i="2"/>
  <c r="M759" i="2"/>
  <c r="J760" i="2"/>
  <c r="K760" i="2"/>
  <c r="L760" i="2"/>
  <c r="M760" i="2"/>
  <c r="J761" i="2"/>
  <c r="K761" i="2"/>
  <c r="L761" i="2"/>
  <c r="M761" i="2"/>
  <c r="J762" i="2"/>
  <c r="K762" i="2"/>
  <c r="L762" i="2"/>
  <c r="M762" i="2"/>
  <c r="J763" i="2"/>
  <c r="K763" i="2"/>
  <c r="L763" i="2"/>
  <c r="M763" i="2"/>
  <c r="J764" i="2"/>
  <c r="K764" i="2"/>
  <c r="L764" i="2"/>
  <c r="M764" i="2"/>
  <c r="J765" i="2"/>
  <c r="K765" i="2"/>
  <c r="L765" i="2"/>
  <c r="M765" i="2"/>
  <c r="J766" i="2"/>
  <c r="K766" i="2"/>
  <c r="L766" i="2"/>
  <c r="M766" i="2"/>
  <c r="J767" i="2"/>
  <c r="K767" i="2"/>
  <c r="L767" i="2"/>
  <c r="M767" i="2"/>
  <c r="J768" i="2"/>
  <c r="K768" i="2"/>
  <c r="L768" i="2"/>
  <c r="M768" i="2"/>
  <c r="J769" i="2"/>
  <c r="K769" i="2"/>
  <c r="L769" i="2"/>
  <c r="M769" i="2"/>
  <c r="J770" i="2"/>
  <c r="K770" i="2"/>
  <c r="L770" i="2"/>
  <c r="M770" i="2"/>
  <c r="J771" i="2"/>
  <c r="K771" i="2"/>
  <c r="L771" i="2"/>
  <c r="M771" i="2"/>
  <c r="J772" i="2"/>
  <c r="K772" i="2"/>
  <c r="L772" i="2"/>
  <c r="M772" i="2"/>
  <c r="J773" i="2"/>
  <c r="K773" i="2"/>
  <c r="L773" i="2"/>
  <c r="M773" i="2"/>
  <c r="J774" i="2"/>
  <c r="K774" i="2"/>
  <c r="L774" i="2"/>
  <c r="M774" i="2"/>
  <c r="J775" i="2"/>
  <c r="K775" i="2"/>
  <c r="L775" i="2"/>
  <c r="M775" i="2"/>
  <c r="J776" i="2"/>
  <c r="K776" i="2"/>
  <c r="L776" i="2"/>
  <c r="M776" i="2"/>
  <c r="J777" i="2"/>
  <c r="K777" i="2"/>
  <c r="L777" i="2"/>
  <c r="M777" i="2"/>
  <c r="J778" i="2"/>
  <c r="K778" i="2"/>
  <c r="L778" i="2"/>
  <c r="M778" i="2"/>
  <c r="J779" i="2"/>
  <c r="K779" i="2"/>
  <c r="L779" i="2"/>
  <c r="M779" i="2"/>
  <c r="J780" i="2"/>
  <c r="K780" i="2"/>
  <c r="L780" i="2"/>
  <c r="M780" i="2"/>
  <c r="J781" i="2"/>
  <c r="K781" i="2"/>
  <c r="L781" i="2"/>
  <c r="M781" i="2"/>
  <c r="J782" i="2"/>
  <c r="K782" i="2"/>
  <c r="L782" i="2"/>
  <c r="M782" i="2"/>
  <c r="J783" i="2"/>
  <c r="K783" i="2"/>
  <c r="L783" i="2"/>
  <c r="M783" i="2"/>
  <c r="J784" i="2"/>
  <c r="K784" i="2"/>
  <c r="L784" i="2"/>
  <c r="M784" i="2"/>
  <c r="J785" i="2"/>
  <c r="K785" i="2"/>
  <c r="L785" i="2"/>
  <c r="M785" i="2"/>
  <c r="J786" i="2"/>
  <c r="K786" i="2"/>
  <c r="L786" i="2"/>
  <c r="M786" i="2"/>
  <c r="J787" i="2"/>
  <c r="K787" i="2"/>
  <c r="L787" i="2"/>
  <c r="M787" i="2"/>
  <c r="J788" i="2"/>
  <c r="K788" i="2"/>
  <c r="L788" i="2"/>
  <c r="M788" i="2"/>
  <c r="J789" i="2"/>
  <c r="K789" i="2"/>
  <c r="L789" i="2"/>
  <c r="M789" i="2"/>
  <c r="J790" i="2"/>
  <c r="K790" i="2"/>
  <c r="L790" i="2"/>
  <c r="M790" i="2"/>
  <c r="J791" i="2"/>
  <c r="K791" i="2"/>
  <c r="L791" i="2"/>
  <c r="M791" i="2"/>
  <c r="J792" i="2"/>
  <c r="K792" i="2"/>
  <c r="L792" i="2"/>
  <c r="M792" i="2"/>
  <c r="J793" i="2"/>
  <c r="K793" i="2"/>
  <c r="L793" i="2"/>
  <c r="M793" i="2"/>
  <c r="J794" i="2"/>
  <c r="K794" i="2"/>
  <c r="L794" i="2"/>
  <c r="M794" i="2"/>
  <c r="J795" i="2"/>
  <c r="K795" i="2"/>
  <c r="L795" i="2"/>
  <c r="M795" i="2"/>
  <c r="J796" i="2"/>
  <c r="K796" i="2"/>
  <c r="L796" i="2"/>
  <c r="M796" i="2"/>
  <c r="J797" i="2"/>
  <c r="K797" i="2"/>
  <c r="L797" i="2"/>
  <c r="M797" i="2"/>
  <c r="J798" i="2"/>
  <c r="K798" i="2"/>
  <c r="L798" i="2"/>
  <c r="M798" i="2"/>
  <c r="J799" i="2"/>
  <c r="K799" i="2"/>
  <c r="L799" i="2"/>
  <c r="M799" i="2"/>
  <c r="J800" i="2"/>
  <c r="K800" i="2"/>
  <c r="L800" i="2"/>
  <c r="M800" i="2"/>
  <c r="J801" i="2"/>
  <c r="K801" i="2"/>
  <c r="L801" i="2"/>
  <c r="M801" i="2"/>
  <c r="J802" i="2"/>
  <c r="K802" i="2"/>
  <c r="L802" i="2"/>
  <c r="M802" i="2"/>
  <c r="J803" i="2"/>
  <c r="K803" i="2"/>
  <c r="L803" i="2"/>
  <c r="M803" i="2"/>
  <c r="J804" i="2"/>
  <c r="K804" i="2"/>
  <c r="L804" i="2"/>
  <c r="M804" i="2"/>
  <c r="J805" i="2"/>
  <c r="K805" i="2"/>
  <c r="L805" i="2"/>
  <c r="M805" i="2"/>
  <c r="J806" i="2"/>
  <c r="K806" i="2"/>
  <c r="L806" i="2"/>
  <c r="M806" i="2"/>
  <c r="J807" i="2"/>
  <c r="K807" i="2"/>
  <c r="L807" i="2"/>
  <c r="M807" i="2"/>
  <c r="J808" i="2"/>
  <c r="K808" i="2"/>
  <c r="L808" i="2"/>
  <c r="M808" i="2"/>
  <c r="J809" i="2"/>
  <c r="K809" i="2"/>
  <c r="L809" i="2"/>
  <c r="M809" i="2"/>
  <c r="J810" i="2"/>
  <c r="K810" i="2"/>
  <c r="L810" i="2"/>
  <c r="M810" i="2"/>
  <c r="J811" i="2"/>
  <c r="K811" i="2"/>
  <c r="L811" i="2"/>
  <c r="M811" i="2"/>
  <c r="J812" i="2"/>
  <c r="K812" i="2"/>
  <c r="L812" i="2"/>
  <c r="M812" i="2"/>
  <c r="J813" i="2"/>
  <c r="K813" i="2"/>
  <c r="L813" i="2"/>
  <c r="M813" i="2"/>
  <c r="J814" i="2"/>
  <c r="K814" i="2"/>
  <c r="L814" i="2"/>
  <c r="M814" i="2"/>
  <c r="J815" i="2"/>
  <c r="K815" i="2"/>
  <c r="L815" i="2"/>
  <c r="M815" i="2"/>
  <c r="J816" i="2"/>
  <c r="K816" i="2"/>
  <c r="L816" i="2"/>
  <c r="M816" i="2"/>
  <c r="J817" i="2"/>
  <c r="K817" i="2"/>
  <c r="L817" i="2"/>
  <c r="M817" i="2"/>
  <c r="J818" i="2"/>
  <c r="K818" i="2"/>
  <c r="L818" i="2"/>
  <c r="M818" i="2"/>
  <c r="J819" i="2"/>
  <c r="K819" i="2"/>
  <c r="L819" i="2"/>
  <c r="M819" i="2"/>
  <c r="J820" i="2"/>
  <c r="K820" i="2"/>
  <c r="L820" i="2"/>
  <c r="M820" i="2"/>
  <c r="J821" i="2"/>
  <c r="K821" i="2"/>
  <c r="L821" i="2"/>
  <c r="M821" i="2"/>
  <c r="J822" i="2"/>
  <c r="K822" i="2"/>
  <c r="L822" i="2"/>
  <c r="M822" i="2"/>
  <c r="J823" i="2"/>
  <c r="K823" i="2"/>
  <c r="L823" i="2"/>
  <c r="M823" i="2"/>
  <c r="J824" i="2"/>
  <c r="K824" i="2"/>
  <c r="L824" i="2"/>
  <c r="M824" i="2"/>
  <c r="J825" i="2"/>
  <c r="K825" i="2"/>
  <c r="L825" i="2"/>
  <c r="M825" i="2"/>
  <c r="J826" i="2"/>
  <c r="K826" i="2"/>
  <c r="L826" i="2"/>
  <c r="M826" i="2"/>
  <c r="J827" i="2"/>
  <c r="K827" i="2"/>
  <c r="L827" i="2"/>
  <c r="M827" i="2"/>
  <c r="J828" i="2"/>
  <c r="K828" i="2"/>
  <c r="L828" i="2"/>
  <c r="M828" i="2"/>
  <c r="J829" i="2"/>
  <c r="K829" i="2"/>
  <c r="L829" i="2"/>
  <c r="M829" i="2"/>
  <c r="J830" i="2"/>
  <c r="K830" i="2"/>
  <c r="L830" i="2"/>
  <c r="M830" i="2"/>
  <c r="J831" i="2"/>
  <c r="K831" i="2"/>
  <c r="L831" i="2"/>
  <c r="M831" i="2"/>
  <c r="J832" i="2"/>
  <c r="K832" i="2"/>
  <c r="L832" i="2"/>
  <c r="M832" i="2"/>
  <c r="J833" i="2"/>
  <c r="K833" i="2"/>
  <c r="L833" i="2"/>
  <c r="M833" i="2"/>
  <c r="J834" i="2"/>
  <c r="K834" i="2"/>
  <c r="L834" i="2"/>
  <c r="M834" i="2"/>
  <c r="J835" i="2"/>
  <c r="K835" i="2"/>
  <c r="L835" i="2"/>
  <c r="M835" i="2"/>
  <c r="J836" i="2"/>
  <c r="K836" i="2"/>
  <c r="L836" i="2"/>
  <c r="M836" i="2"/>
  <c r="J837" i="2"/>
  <c r="K837" i="2"/>
  <c r="L837" i="2"/>
  <c r="M837" i="2"/>
  <c r="J838" i="2"/>
  <c r="K838" i="2"/>
  <c r="L838" i="2"/>
  <c r="M838" i="2"/>
  <c r="J839" i="2"/>
  <c r="K839" i="2"/>
  <c r="L839" i="2"/>
  <c r="M839" i="2"/>
  <c r="J840" i="2"/>
  <c r="K840" i="2"/>
  <c r="L840" i="2"/>
  <c r="M840" i="2"/>
  <c r="J841" i="2"/>
  <c r="K841" i="2"/>
  <c r="L841" i="2"/>
  <c r="M841" i="2"/>
  <c r="J842" i="2"/>
  <c r="K842" i="2"/>
  <c r="L842" i="2"/>
  <c r="M842" i="2"/>
  <c r="J843" i="2"/>
  <c r="K843" i="2"/>
  <c r="L843" i="2"/>
  <c r="M843" i="2"/>
  <c r="J844" i="2"/>
  <c r="K844" i="2"/>
  <c r="L844" i="2"/>
  <c r="M844" i="2"/>
  <c r="J845" i="2"/>
  <c r="K845" i="2"/>
  <c r="L845" i="2"/>
  <c r="M845" i="2"/>
  <c r="J846" i="2"/>
  <c r="K846" i="2"/>
  <c r="L846" i="2"/>
  <c r="M846" i="2"/>
  <c r="J847" i="2"/>
  <c r="K847" i="2"/>
  <c r="L847" i="2"/>
  <c r="M847" i="2"/>
  <c r="J848" i="2"/>
  <c r="K848" i="2"/>
  <c r="L848" i="2"/>
  <c r="M848" i="2"/>
  <c r="J849" i="2"/>
  <c r="K849" i="2"/>
  <c r="L849" i="2"/>
  <c r="M849" i="2"/>
  <c r="J850" i="2"/>
  <c r="K850" i="2"/>
  <c r="L850" i="2"/>
  <c r="M850" i="2"/>
  <c r="J851" i="2"/>
  <c r="K851" i="2"/>
  <c r="L851" i="2"/>
  <c r="M851" i="2"/>
  <c r="J852" i="2"/>
  <c r="K852" i="2"/>
  <c r="L852" i="2"/>
  <c r="M852" i="2"/>
  <c r="J853" i="2"/>
  <c r="K853" i="2"/>
  <c r="L853" i="2"/>
  <c r="M853" i="2"/>
  <c r="J854" i="2"/>
  <c r="K854" i="2"/>
  <c r="L854" i="2"/>
  <c r="M854" i="2"/>
  <c r="J855" i="2"/>
  <c r="K855" i="2"/>
  <c r="L855" i="2"/>
  <c r="M855" i="2"/>
  <c r="J856" i="2"/>
  <c r="K856" i="2"/>
  <c r="L856" i="2"/>
  <c r="M856" i="2"/>
  <c r="J857" i="2"/>
  <c r="K857" i="2"/>
  <c r="L857" i="2"/>
  <c r="M857" i="2"/>
  <c r="J858" i="2"/>
  <c r="K858" i="2"/>
  <c r="L858" i="2"/>
  <c r="M858" i="2"/>
  <c r="J859" i="2"/>
  <c r="K859" i="2"/>
  <c r="L859" i="2"/>
  <c r="M859" i="2"/>
  <c r="J860" i="2"/>
  <c r="K860" i="2"/>
  <c r="L860" i="2"/>
  <c r="M860" i="2"/>
  <c r="J861" i="2"/>
  <c r="K861" i="2"/>
  <c r="L861" i="2"/>
  <c r="M861" i="2"/>
  <c r="J862" i="2"/>
  <c r="K862" i="2"/>
  <c r="L862" i="2"/>
  <c r="M862" i="2"/>
  <c r="J863" i="2"/>
  <c r="K863" i="2"/>
  <c r="L863" i="2"/>
  <c r="M863" i="2"/>
  <c r="J864" i="2"/>
  <c r="K864" i="2"/>
  <c r="L864" i="2"/>
  <c r="M864" i="2"/>
  <c r="J865" i="2"/>
  <c r="K865" i="2"/>
  <c r="L865" i="2"/>
  <c r="M865" i="2"/>
  <c r="J866" i="2"/>
  <c r="K866" i="2"/>
  <c r="L866" i="2"/>
  <c r="M866" i="2"/>
  <c r="J867" i="2"/>
  <c r="K867" i="2"/>
  <c r="L867" i="2"/>
  <c r="M867" i="2"/>
  <c r="J868" i="2"/>
  <c r="K868" i="2"/>
  <c r="L868" i="2"/>
  <c r="M868" i="2"/>
  <c r="J869" i="2"/>
  <c r="K869" i="2"/>
  <c r="L869" i="2"/>
  <c r="M869" i="2"/>
  <c r="J870" i="2"/>
  <c r="K870" i="2"/>
  <c r="L870" i="2"/>
  <c r="M870" i="2"/>
  <c r="J871" i="2"/>
  <c r="K871" i="2"/>
  <c r="L871" i="2"/>
  <c r="M871" i="2"/>
  <c r="J872" i="2"/>
  <c r="K872" i="2"/>
  <c r="L872" i="2"/>
  <c r="M872" i="2"/>
  <c r="J873" i="2"/>
  <c r="K873" i="2"/>
  <c r="L873" i="2"/>
  <c r="M873" i="2"/>
  <c r="J874" i="2"/>
  <c r="K874" i="2"/>
  <c r="L874" i="2"/>
  <c r="M874" i="2"/>
  <c r="J875" i="2"/>
  <c r="K875" i="2"/>
  <c r="L875" i="2"/>
  <c r="M875" i="2"/>
  <c r="J876" i="2"/>
  <c r="K876" i="2"/>
  <c r="L876" i="2"/>
  <c r="M876" i="2"/>
  <c r="J877" i="2"/>
  <c r="K877" i="2"/>
  <c r="L877" i="2"/>
  <c r="M877" i="2"/>
  <c r="J878" i="2"/>
  <c r="K878" i="2"/>
  <c r="L878" i="2"/>
  <c r="M878" i="2"/>
  <c r="J879" i="2"/>
  <c r="K879" i="2"/>
  <c r="L879" i="2"/>
  <c r="M879" i="2"/>
  <c r="J880" i="2"/>
  <c r="K880" i="2"/>
  <c r="L880" i="2"/>
  <c r="M880" i="2"/>
  <c r="J881" i="2"/>
  <c r="K881" i="2"/>
  <c r="L881" i="2"/>
  <c r="M881" i="2"/>
  <c r="J882" i="2"/>
  <c r="K882" i="2"/>
  <c r="L882" i="2"/>
  <c r="M882" i="2"/>
  <c r="J883" i="2"/>
  <c r="K883" i="2"/>
  <c r="L883" i="2"/>
  <c r="M883" i="2"/>
  <c r="J884" i="2"/>
  <c r="K884" i="2"/>
  <c r="L884" i="2"/>
  <c r="M884" i="2"/>
  <c r="J885" i="2"/>
  <c r="K885" i="2"/>
  <c r="L885" i="2"/>
  <c r="M885" i="2"/>
  <c r="J886" i="2"/>
  <c r="K886" i="2"/>
  <c r="L886" i="2"/>
  <c r="M886" i="2"/>
  <c r="J887" i="2"/>
  <c r="K887" i="2"/>
  <c r="L887" i="2"/>
  <c r="M887" i="2"/>
  <c r="J888" i="2"/>
  <c r="K888" i="2"/>
  <c r="L888" i="2"/>
  <c r="M888" i="2"/>
  <c r="J889" i="2"/>
  <c r="K889" i="2"/>
  <c r="L889" i="2"/>
  <c r="M889" i="2"/>
  <c r="J890" i="2"/>
  <c r="K890" i="2"/>
  <c r="L890" i="2"/>
  <c r="M890" i="2"/>
  <c r="J891" i="2"/>
  <c r="K891" i="2"/>
  <c r="L891" i="2"/>
  <c r="M891" i="2"/>
  <c r="J892" i="2"/>
  <c r="K892" i="2"/>
  <c r="L892" i="2"/>
  <c r="M892" i="2"/>
  <c r="J893" i="2"/>
  <c r="K893" i="2"/>
  <c r="L893" i="2"/>
  <c r="M893" i="2"/>
  <c r="J894" i="2"/>
  <c r="K894" i="2"/>
  <c r="L894" i="2"/>
  <c r="M894" i="2"/>
  <c r="J895" i="2"/>
  <c r="K895" i="2"/>
  <c r="L895" i="2"/>
  <c r="M895" i="2"/>
  <c r="J896" i="2"/>
  <c r="K896" i="2"/>
  <c r="L896" i="2"/>
  <c r="M896" i="2"/>
  <c r="J897" i="2"/>
  <c r="K897" i="2"/>
  <c r="L897" i="2"/>
  <c r="M897" i="2"/>
  <c r="J898" i="2"/>
  <c r="K898" i="2"/>
  <c r="L898" i="2"/>
  <c r="M898" i="2"/>
  <c r="J899" i="2"/>
  <c r="K899" i="2"/>
  <c r="L899" i="2"/>
  <c r="M899" i="2"/>
  <c r="J900" i="2"/>
  <c r="K900" i="2"/>
  <c r="L900" i="2"/>
  <c r="M900" i="2"/>
  <c r="J901" i="2"/>
  <c r="K901" i="2"/>
  <c r="L901" i="2"/>
  <c r="M901" i="2"/>
  <c r="J902" i="2"/>
  <c r="K902" i="2"/>
  <c r="L902" i="2"/>
  <c r="M902" i="2"/>
  <c r="J903" i="2"/>
  <c r="K903" i="2"/>
  <c r="L903" i="2"/>
  <c r="M903" i="2"/>
  <c r="J904" i="2"/>
  <c r="K904" i="2"/>
  <c r="L904" i="2"/>
  <c r="M904" i="2"/>
  <c r="J905" i="2"/>
  <c r="K905" i="2"/>
  <c r="L905" i="2"/>
  <c r="M905" i="2"/>
  <c r="J906" i="2"/>
  <c r="K906" i="2"/>
  <c r="L906" i="2"/>
  <c r="M906" i="2"/>
  <c r="J907" i="2"/>
  <c r="K907" i="2"/>
  <c r="L907" i="2"/>
  <c r="M907" i="2"/>
  <c r="J908" i="2"/>
  <c r="K908" i="2"/>
  <c r="L908" i="2"/>
  <c r="M908" i="2"/>
  <c r="J909" i="2"/>
  <c r="K909" i="2"/>
  <c r="L909" i="2"/>
  <c r="M909" i="2"/>
  <c r="J910" i="2"/>
  <c r="K910" i="2"/>
  <c r="L910" i="2"/>
  <c r="M910" i="2"/>
  <c r="J911" i="2"/>
  <c r="K911" i="2"/>
  <c r="L911" i="2"/>
  <c r="M911" i="2"/>
  <c r="J912" i="2"/>
  <c r="K912" i="2"/>
  <c r="L912" i="2"/>
  <c r="M912" i="2"/>
  <c r="J913" i="2"/>
  <c r="K913" i="2"/>
  <c r="L913" i="2"/>
  <c r="M913" i="2"/>
  <c r="J914" i="2"/>
  <c r="K914" i="2"/>
  <c r="L914" i="2"/>
  <c r="M914" i="2"/>
  <c r="J915" i="2"/>
  <c r="K915" i="2"/>
  <c r="L915" i="2"/>
  <c r="M915" i="2"/>
  <c r="J916" i="2"/>
  <c r="K916" i="2"/>
  <c r="L916" i="2"/>
  <c r="M916" i="2"/>
  <c r="J917" i="2"/>
  <c r="K917" i="2"/>
  <c r="L917" i="2"/>
  <c r="M917" i="2"/>
  <c r="J918" i="2"/>
  <c r="K918" i="2"/>
  <c r="L918" i="2"/>
  <c r="M918" i="2"/>
  <c r="J919" i="2"/>
  <c r="K919" i="2"/>
  <c r="L919" i="2"/>
  <c r="M919" i="2"/>
  <c r="J920" i="2"/>
  <c r="K920" i="2"/>
  <c r="L920" i="2"/>
  <c r="M920" i="2"/>
  <c r="J921" i="2"/>
  <c r="K921" i="2"/>
  <c r="L921" i="2"/>
  <c r="M921" i="2"/>
  <c r="J922" i="2"/>
  <c r="K922" i="2"/>
  <c r="L922" i="2"/>
  <c r="M922" i="2"/>
  <c r="J923" i="2"/>
  <c r="K923" i="2"/>
  <c r="L923" i="2"/>
  <c r="M923" i="2"/>
  <c r="J924" i="2"/>
  <c r="K924" i="2"/>
  <c r="L924" i="2"/>
  <c r="M924" i="2"/>
  <c r="J925" i="2"/>
  <c r="K925" i="2"/>
  <c r="L925" i="2"/>
  <c r="M925" i="2"/>
  <c r="J926" i="2"/>
  <c r="K926" i="2"/>
  <c r="L926" i="2"/>
  <c r="M926" i="2"/>
  <c r="J927" i="2"/>
  <c r="K927" i="2"/>
  <c r="L927" i="2"/>
  <c r="M927" i="2"/>
  <c r="J928" i="2"/>
  <c r="K928" i="2"/>
  <c r="L928" i="2"/>
  <c r="M928" i="2"/>
  <c r="J929" i="2"/>
  <c r="K929" i="2"/>
  <c r="L929" i="2"/>
  <c r="M929" i="2"/>
  <c r="J930" i="2"/>
  <c r="K930" i="2"/>
  <c r="L930" i="2"/>
  <c r="M930" i="2"/>
  <c r="J931" i="2"/>
  <c r="K931" i="2"/>
  <c r="L931" i="2"/>
  <c r="M931" i="2"/>
  <c r="J932" i="2"/>
  <c r="K932" i="2"/>
  <c r="L932" i="2"/>
  <c r="M932" i="2"/>
  <c r="J933" i="2"/>
  <c r="K933" i="2"/>
  <c r="L933" i="2"/>
  <c r="M933" i="2"/>
  <c r="J934" i="2"/>
  <c r="K934" i="2"/>
  <c r="L934" i="2"/>
  <c r="M934" i="2"/>
  <c r="J935" i="2"/>
  <c r="K935" i="2"/>
  <c r="L935" i="2"/>
  <c r="M935" i="2"/>
  <c r="J936" i="2"/>
  <c r="K936" i="2"/>
  <c r="L936" i="2"/>
  <c r="M936" i="2"/>
  <c r="J937" i="2"/>
  <c r="K937" i="2"/>
  <c r="L937" i="2"/>
  <c r="M937" i="2"/>
  <c r="J938" i="2"/>
  <c r="K938" i="2"/>
  <c r="L938" i="2"/>
  <c r="M938" i="2"/>
  <c r="J939" i="2"/>
  <c r="K939" i="2"/>
  <c r="L939" i="2"/>
  <c r="M939" i="2"/>
  <c r="J940" i="2"/>
  <c r="K940" i="2"/>
  <c r="L940" i="2"/>
  <c r="M940" i="2"/>
  <c r="J941" i="2"/>
  <c r="K941" i="2"/>
  <c r="L941" i="2"/>
  <c r="M941" i="2"/>
  <c r="J942" i="2"/>
  <c r="K942" i="2"/>
  <c r="L942" i="2"/>
  <c r="M942" i="2"/>
  <c r="J943" i="2"/>
  <c r="K943" i="2"/>
  <c r="L943" i="2"/>
  <c r="M943" i="2"/>
  <c r="J944" i="2"/>
  <c r="K944" i="2"/>
  <c r="L944" i="2"/>
  <c r="M944" i="2"/>
  <c r="J945" i="2"/>
  <c r="K945" i="2"/>
  <c r="L945" i="2"/>
  <c r="M945" i="2"/>
  <c r="J946" i="2"/>
  <c r="K946" i="2"/>
  <c r="L946" i="2"/>
  <c r="M946" i="2"/>
  <c r="J947" i="2"/>
  <c r="K947" i="2"/>
  <c r="L947" i="2"/>
  <c r="M947" i="2"/>
  <c r="J948" i="2"/>
  <c r="K948" i="2"/>
  <c r="L948" i="2"/>
  <c r="M948" i="2"/>
  <c r="J949" i="2"/>
  <c r="K949" i="2"/>
  <c r="L949" i="2"/>
  <c r="M949" i="2"/>
  <c r="J950" i="2"/>
  <c r="K950" i="2"/>
  <c r="L950" i="2"/>
  <c r="M950" i="2"/>
  <c r="J951" i="2"/>
  <c r="K951" i="2"/>
  <c r="L951" i="2"/>
  <c r="M951" i="2"/>
  <c r="J952" i="2"/>
  <c r="K952" i="2"/>
  <c r="L952" i="2"/>
  <c r="M952" i="2"/>
  <c r="J953" i="2"/>
  <c r="K953" i="2"/>
  <c r="L953" i="2"/>
  <c r="M953" i="2"/>
  <c r="J954" i="2"/>
  <c r="K954" i="2"/>
  <c r="L954" i="2"/>
  <c r="M954" i="2"/>
  <c r="J955" i="2"/>
  <c r="K955" i="2"/>
  <c r="L955" i="2"/>
  <c r="M955" i="2"/>
  <c r="J956" i="2"/>
  <c r="K956" i="2"/>
  <c r="L956" i="2"/>
  <c r="M956" i="2"/>
  <c r="J957" i="2"/>
  <c r="K957" i="2"/>
  <c r="L957" i="2"/>
  <c r="M957" i="2"/>
  <c r="J958" i="2"/>
  <c r="K958" i="2"/>
  <c r="L958" i="2"/>
  <c r="M958" i="2"/>
  <c r="J959" i="2"/>
  <c r="K959" i="2"/>
  <c r="L959" i="2"/>
  <c r="M959" i="2"/>
  <c r="J960" i="2"/>
  <c r="K960" i="2"/>
  <c r="L960" i="2"/>
  <c r="M960" i="2"/>
  <c r="J961" i="2"/>
  <c r="K961" i="2"/>
  <c r="L961" i="2"/>
  <c r="M961" i="2"/>
  <c r="J962" i="2"/>
  <c r="K962" i="2"/>
  <c r="L962" i="2"/>
  <c r="M962" i="2"/>
  <c r="J963" i="2"/>
  <c r="K963" i="2"/>
  <c r="L963" i="2"/>
  <c r="M963" i="2"/>
  <c r="J964" i="2"/>
  <c r="K964" i="2"/>
  <c r="L964" i="2"/>
  <c r="M964" i="2"/>
  <c r="J965" i="2"/>
  <c r="K965" i="2"/>
  <c r="L965" i="2"/>
  <c r="M965" i="2"/>
  <c r="J966" i="2"/>
  <c r="K966" i="2"/>
  <c r="L966" i="2"/>
  <c r="M966" i="2"/>
  <c r="J967" i="2"/>
  <c r="K967" i="2"/>
  <c r="L967" i="2"/>
  <c r="M967" i="2"/>
  <c r="J968" i="2"/>
  <c r="K968" i="2"/>
  <c r="L968" i="2"/>
  <c r="M968" i="2"/>
  <c r="J969" i="2"/>
  <c r="K969" i="2"/>
  <c r="L969" i="2"/>
  <c r="M969" i="2"/>
  <c r="J970" i="2"/>
  <c r="K970" i="2"/>
  <c r="L970" i="2"/>
  <c r="M970" i="2"/>
  <c r="J971" i="2"/>
  <c r="K971" i="2"/>
  <c r="L971" i="2"/>
  <c r="M971" i="2"/>
  <c r="J972" i="2"/>
  <c r="K972" i="2"/>
  <c r="L972" i="2"/>
  <c r="M972" i="2"/>
  <c r="J973" i="2"/>
  <c r="K973" i="2"/>
  <c r="L973" i="2"/>
  <c r="M973" i="2"/>
  <c r="J974" i="2"/>
  <c r="K974" i="2"/>
  <c r="L974" i="2"/>
  <c r="M974" i="2"/>
  <c r="J975" i="2"/>
  <c r="K975" i="2"/>
  <c r="L975" i="2"/>
  <c r="M975" i="2"/>
  <c r="J976" i="2"/>
  <c r="K976" i="2"/>
  <c r="L976" i="2"/>
  <c r="M976" i="2"/>
  <c r="J977" i="2"/>
  <c r="K977" i="2"/>
  <c r="L977" i="2"/>
  <c r="M977" i="2"/>
  <c r="J978" i="2"/>
  <c r="K978" i="2"/>
  <c r="L978" i="2"/>
  <c r="M978" i="2"/>
  <c r="J979" i="2"/>
  <c r="K979" i="2"/>
  <c r="L979" i="2"/>
  <c r="M979" i="2"/>
  <c r="J980" i="2"/>
  <c r="K980" i="2"/>
  <c r="L980" i="2"/>
  <c r="M980" i="2"/>
  <c r="J981" i="2"/>
  <c r="K981" i="2"/>
  <c r="L981" i="2"/>
  <c r="M981" i="2"/>
  <c r="J982" i="2"/>
  <c r="K982" i="2"/>
  <c r="L982" i="2"/>
  <c r="M982" i="2"/>
  <c r="J983" i="2"/>
  <c r="K983" i="2"/>
  <c r="L983" i="2"/>
  <c r="M983" i="2"/>
  <c r="J984" i="2"/>
  <c r="K984" i="2"/>
  <c r="L984" i="2"/>
  <c r="M984" i="2"/>
  <c r="J985" i="2"/>
  <c r="K985" i="2"/>
  <c r="L985" i="2"/>
  <c r="M985" i="2"/>
  <c r="J986" i="2"/>
  <c r="K986" i="2"/>
  <c r="L986" i="2"/>
  <c r="M986" i="2"/>
  <c r="J987" i="2"/>
  <c r="K987" i="2"/>
  <c r="L987" i="2"/>
  <c r="M987" i="2"/>
  <c r="J988" i="2"/>
  <c r="K988" i="2"/>
  <c r="L988" i="2"/>
  <c r="M988" i="2"/>
  <c r="J989" i="2"/>
  <c r="K989" i="2"/>
  <c r="L989" i="2"/>
  <c r="M989" i="2"/>
  <c r="J990" i="2"/>
  <c r="K990" i="2"/>
  <c r="L990" i="2"/>
  <c r="M990" i="2"/>
  <c r="J991" i="2"/>
  <c r="K991" i="2"/>
  <c r="L991" i="2"/>
  <c r="M991" i="2"/>
  <c r="J992" i="2"/>
  <c r="K992" i="2"/>
  <c r="L992" i="2"/>
  <c r="M992" i="2"/>
  <c r="J993" i="2"/>
  <c r="K993" i="2"/>
  <c r="L993" i="2"/>
  <c r="M993" i="2"/>
  <c r="J994" i="2"/>
  <c r="K994" i="2"/>
  <c r="L994" i="2"/>
  <c r="M994" i="2"/>
  <c r="J995" i="2"/>
  <c r="K995" i="2"/>
  <c r="L995" i="2"/>
  <c r="M995" i="2"/>
  <c r="J996" i="2"/>
  <c r="K996" i="2"/>
  <c r="L996" i="2"/>
  <c r="M996" i="2"/>
  <c r="J997" i="2"/>
  <c r="K997" i="2"/>
  <c r="L997" i="2"/>
  <c r="M997" i="2"/>
  <c r="J998" i="2"/>
  <c r="K998" i="2"/>
  <c r="L998" i="2"/>
  <c r="M998" i="2"/>
  <c r="J999" i="2"/>
  <c r="K999" i="2"/>
  <c r="L999" i="2"/>
  <c r="M999" i="2"/>
  <c r="J1000" i="2"/>
  <c r="K1000" i="2"/>
  <c r="L1000" i="2"/>
  <c r="M1000" i="2"/>
  <c r="J1001" i="2"/>
  <c r="K1001" i="2"/>
  <c r="L1001" i="2"/>
  <c r="M1001" i="2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M2" i="2"/>
  <c r="L2" i="2"/>
  <c r="K1001" i="6"/>
  <c r="K1000" i="6"/>
  <c r="K999" i="6"/>
  <c r="K998" i="6"/>
  <c r="K997" i="6"/>
  <c r="K996" i="6"/>
  <c r="K995" i="6"/>
  <c r="K994" i="6"/>
  <c r="K993" i="6"/>
  <c r="K992" i="6"/>
  <c r="K991" i="6"/>
  <c r="K990" i="6"/>
  <c r="K989" i="6"/>
  <c r="K988" i="6"/>
  <c r="K987" i="6"/>
  <c r="K986" i="6"/>
  <c r="K985" i="6"/>
  <c r="K984" i="6"/>
  <c r="K983" i="6"/>
  <c r="K982" i="6"/>
  <c r="K981" i="6"/>
  <c r="K980" i="6"/>
  <c r="K979" i="6"/>
  <c r="K978" i="6"/>
  <c r="K977" i="6"/>
  <c r="K976" i="6"/>
  <c r="K975" i="6"/>
  <c r="K974" i="6"/>
  <c r="K973" i="6"/>
  <c r="K972" i="6"/>
  <c r="K971" i="6"/>
  <c r="K970" i="6"/>
  <c r="K969" i="6"/>
  <c r="K968" i="6"/>
  <c r="K967" i="6"/>
  <c r="K966" i="6"/>
  <c r="K965" i="6"/>
  <c r="K964" i="6"/>
  <c r="K963" i="6"/>
  <c r="K962" i="6"/>
  <c r="K961" i="6"/>
  <c r="K960" i="6"/>
  <c r="K959" i="6"/>
  <c r="K958" i="6"/>
  <c r="K957" i="6"/>
  <c r="K956" i="6"/>
  <c r="K955" i="6"/>
  <c r="K954" i="6"/>
  <c r="K953" i="6"/>
  <c r="K952" i="6"/>
  <c r="K951" i="6"/>
  <c r="K950" i="6"/>
  <c r="K949" i="6"/>
  <c r="K948" i="6"/>
  <c r="K947" i="6"/>
  <c r="K946" i="6"/>
  <c r="K945" i="6"/>
  <c r="K944" i="6"/>
  <c r="K943" i="6"/>
  <c r="K942" i="6"/>
  <c r="K941" i="6"/>
  <c r="K940" i="6"/>
  <c r="K939" i="6"/>
  <c r="K938" i="6"/>
  <c r="K937" i="6"/>
  <c r="K936" i="6"/>
  <c r="K935" i="6"/>
  <c r="K934" i="6"/>
  <c r="K933" i="6"/>
  <c r="K932" i="6"/>
  <c r="K931" i="6"/>
  <c r="K930" i="6"/>
  <c r="K929" i="6"/>
  <c r="K928" i="6"/>
  <c r="K927" i="6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1001" i="6"/>
  <c r="J1000" i="6"/>
  <c r="J999" i="6"/>
  <c r="J998" i="6"/>
  <c r="J997" i="6"/>
  <c r="J996" i="6"/>
  <c r="J995" i="6"/>
  <c r="J994" i="6"/>
  <c r="J993" i="6"/>
  <c r="J992" i="6"/>
  <c r="J991" i="6"/>
  <c r="J990" i="6"/>
  <c r="J989" i="6"/>
  <c r="J988" i="6"/>
  <c r="J987" i="6"/>
  <c r="J986" i="6"/>
  <c r="J985" i="6"/>
  <c r="J984" i="6"/>
  <c r="J983" i="6"/>
  <c r="J982" i="6"/>
  <c r="J981" i="6"/>
  <c r="J980" i="6"/>
  <c r="J979" i="6"/>
  <c r="J978" i="6"/>
  <c r="J977" i="6"/>
  <c r="J976" i="6"/>
  <c r="J975" i="6"/>
  <c r="J974" i="6"/>
  <c r="J973" i="6"/>
  <c r="J972" i="6"/>
  <c r="J971" i="6"/>
  <c r="J970" i="6"/>
  <c r="J969" i="6"/>
  <c r="J968" i="6"/>
  <c r="J967" i="6"/>
  <c r="J966" i="6"/>
  <c r="J965" i="6"/>
  <c r="J964" i="6"/>
  <c r="J963" i="6"/>
  <c r="J962" i="6"/>
  <c r="J961" i="6"/>
  <c r="J960" i="6"/>
  <c r="J959" i="6"/>
  <c r="J958" i="6"/>
  <c r="J957" i="6"/>
  <c r="J956" i="6"/>
  <c r="J955" i="6"/>
  <c r="J954" i="6"/>
  <c r="J953" i="6"/>
  <c r="J952" i="6"/>
  <c r="J951" i="6"/>
  <c r="J950" i="6"/>
  <c r="J949" i="6"/>
  <c r="J948" i="6"/>
  <c r="J947" i="6"/>
  <c r="J946" i="6"/>
  <c r="J945" i="6"/>
  <c r="J944" i="6"/>
  <c r="J943" i="6"/>
  <c r="J942" i="6"/>
  <c r="J941" i="6"/>
  <c r="J940" i="6"/>
  <c r="J939" i="6"/>
  <c r="J938" i="6"/>
  <c r="J937" i="6"/>
  <c r="J936" i="6"/>
  <c r="J935" i="6"/>
  <c r="J934" i="6"/>
  <c r="J933" i="6"/>
  <c r="J932" i="6"/>
  <c r="J931" i="6"/>
  <c r="J930" i="6"/>
  <c r="J929" i="6"/>
  <c r="J928" i="6"/>
  <c r="J927" i="6"/>
  <c r="J926" i="6"/>
  <c r="J925" i="6"/>
  <c r="J924" i="6"/>
  <c r="J923" i="6"/>
  <c r="J922" i="6"/>
  <c r="J921" i="6"/>
  <c r="J920" i="6"/>
  <c r="J919" i="6"/>
  <c r="J918" i="6"/>
  <c r="J917" i="6"/>
  <c r="J916" i="6"/>
  <c r="J915" i="6"/>
  <c r="J914" i="6"/>
  <c r="J913" i="6"/>
  <c r="J912" i="6"/>
  <c r="J911" i="6"/>
  <c r="J910" i="6"/>
  <c r="J909" i="6"/>
  <c r="J908" i="6"/>
  <c r="J907" i="6"/>
  <c r="J906" i="6"/>
  <c r="J905" i="6"/>
  <c r="J904" i="6"/>
  <c r="J903" i="6"/>
  <c r="J902" i="6"/>
  <c r="J901" i="6"/>
  <c r="J900" i="6"/>
  <c r="J899" i="6"/>
  <c r="J898" i="6"/>
  <c r="J897" i="6"/>
  <c r="J896" i="6"/>
  <c r="J895" i="6"/>
  <c r="J894" i="6"/>
  <c r="J893" i="6"/>
  <c r="J892" i="6"/>
  <c r="J891" i="6"/>
  <c r="J890" i="6"/>
  <c r="J889" i="6"/>
  <c r="J888" i="6"/>
  <c r="J887" i="6"/>
  <c r="J886" i="6"/>
  <c r="J885" i="6"/>
  <c r="J884" i="6"/>
  <c r="J883" i="6"/>
  <c r="J882" i="6"/>
  <c r="J881" i="6"/>
  <c r="J880" i="6"/>
  <c r="J879" i="6"/>
  <c r="J878" i="6"/>
  <c r="J877" i="6"/>
  <c r="J876" i="6"/>
  <c r="J875" i="6"/>
  <c r="J874" i="6"/>
  <c r="J873" i="6"/>
  <c r="J872" i="6"/>
  <c r="J871" i="6"/>
  <c r="J870" i="6"/>
  <c r="J869" i="6"/>
  <c r="J868" i="6"/>
  <c r="J867" i="6"/>
  <c r="J866" i="6"/>
  <c r="J865" i="6"/>
  <c r="J864" i="6"/>
  <c r="J863" i="6"/>
  <c r="J862" i="6"/>
  <c r="J861" i="6"/>
  <c r="J860" i="6"/>
  <c r="J859" i="6"/>
  <c r="J858" i="6"/>
  <c r="J857" i="6"/>
  <c r="J856" i="6"/>
  <c r="J855" i="6"/>
  <c r="J854" i="6"/>
  <c r="J853" i="6"/>
  <c r="J852" i="6"/>
  <c r="J851" i="6"/>
  <c r="J850" i="6"/>
  <c r="J849" i="6"/>
  <c r="J848" i="6"/>
  <c r="J847" i="6"/>
  <c r="J846" i="6"/>
  <c r="J845" i="6"/>
  <c r="J844" i="6"/>
  <c r="J843" i="6"/>
  <c r="J842" i="6"/>
  <c r="J841" i="6"/>
  <c r="J840" i="6"/>
  <c r="J839" i="6"/>
  <c r="J838" i="6"/>
  <c r="J837" i="6"/>
  <c r="J836" i="6"/>
  <c r="J835" i="6"/>
  <c r="J834" i="6"/>
  <c r="J833" i="6"/>
  <c r="J832" i="6"/>
  <c r="J831" i="6"/>
  <c r="J830" i="6"/>
  <c r="J829" i="6"/>
  <c r="J828" i="6"/>
  <c r="J827" i="6"/>
  <c r="J826" i="6"/>
  <c r="J825" i="6"/>
  <c r="J824" i="6"/>
  <c r="J823" i="6"/>
  <c r="J822" i="6"/>
  <c r="J821" i="6"/>
  <c r="J820" i="6"/>
  <c r="J819" i="6"/>
  <c r="J818" i="6"/>
  <c r="J817" i="6"/>
  <c r="J816" i="6"/>
  <c r="J815" i="6"/>
  <c r="J814" i="6"/>
  <c r="J813" i="6"/>
  <c r="J812" i="6"/>
  <c r="J811" i="6"/>
  <c r="J810" i="6"/>
  <c r="J809" i="6"/>
  <c r="J808" i="6"/>
  <c r="J807" i="6"/>
  <c r="J806" i="6"/>
  <c r="J805" i="6"/>
  <c r="J804" i="6"/>
  <c r="J803" i="6"/>
  <c r="J802" i="6"/>
  <c r="J801" i="6"/>
  <c r="J800" i="6"/>
  <c r="J799" i="6"/>
  <c r="J798" i="6"/>
  <c r="J797" i="6"/>
  <c r="J796" i="6"/>
  <c r="J795" i="6"/>
  <c r="J794" i="6"/>
  <c r="J793" i="6"/>
  <c r="J792" i="6"/>
  <c r="J791" i="6"/>
  <c r="J790" i="6"/>
  <c r="J789" i="6"/>
  <c r="J788" i="6"/>
  <c r="J787" i="6"/>
  <c r="J786" i="6"/>
  <c r="J785" i="6"/>
  <c r="J784" i="6"/>
  <c r="J783" i="6"/>
  <c r="J782" i="6"/>
  <c r="J781" i="6"/>
  <c r="J780" i="6"/>
  <c r="J779" i="6"/>
  <c r="J778" i="6"/>
  <c r="J777" i="6"/>
  <c r="J776" i="6"/>
  <c r="J775" i="6"/>
  <c r="J774" i="6"/>
  <c r="J773" i="6"/>
  <c r="J772" i="6"/>
  <c r="J771" i="6"/>
  <c r="J770" i="6"/>
  <c r="J769" i="6"/>
  <c r="J768" i="6"/>
  <c r="J767" i="6"/>
  <c r="J766" i="6"/>
  <c r="J765" i="6"/>
  <c r="J764" i="6"/>
  <c r="J763" i="6"/>
  <c r="J762" i="6"/>
  <c r="J761" i="6"/>
  <c r="J760" i="6"/>
  <c r="J759" i="6"/>
  <c r="J758" i="6"/>
  <c r="J757" i="6"/>
  <c r="J756" i="6"/>
  <c r="J755" i="6"/>
  <c r="J754" i="6"/>
  <c r="J753" i="6"/>
  <c r="J752" i="6"/>
  <c r="J751" i="6"/>
  <c r="J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K2" i="2"/>
  <c r="J2" i="2"/>
  <c r="B1003" i="6"/>
  <c r="B3" i="5" s="1"/>
  <c r="C1003" i="6" a="1"/>
  <c r="C1003" i="6" s="1"/>
  <c r="B2" i="5" s="1"/>
  <c r="B1004" i="6"/>
  <c r="B4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363DA7-BA1F-40EF-B0B9-3656328D3A0F}" keepAlive="1" name="Consulta - retail_sales_dataset" description="Conexión a la consulta 'retail_sales_dataset' en el libro." type="5" refreshedVersion="8" background="1" saveData="1">
    <dbPr connection="Provider=Microsoft.Mashup.OleDb.1;Data Source=$Workbook$;Location=retail_sales_dataset;Extended Properties=&quot;&quot;" command="SELECT * FROM [retail_sales_datase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<sst xmlns="http://schemas.openxmlformats.org/spreadsheetml/2006/main" count="6208" uniqueCount="1130">
  <si>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</si>
  <si>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</si>
  <si>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</si>
  <si>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</si>
  <si>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</si>
  <si>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</si>
  <si>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</si>
  <si>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</si>
  <si>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</si>
  <si>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</si>
  <si>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</si>
  <si>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</si>
  <si>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</si>
  <si>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</si>
  <si>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</si>
  <si>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</si>
  <si>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</si>
  <si>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</si>
  <si>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</si>
  <si>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</si>
  <si>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</si>
  <si>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</si>
  <si>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</si>
  <si>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</si>
  <si>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</si>
  <si>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</si>
  <si>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</si>
  <si>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</si>
  <si>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</si>
  <si>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</si>
  <si>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</si>
  <si>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</si>
  <si>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</si>
  <si>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</si>
  <si>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</si>
  <si>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</si>
  <si>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</si>
  <si>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</si>
  <si>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</si>
  <si>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</si>
  <si>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</si>
  <si>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</si>
  <si>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</si>
  <si>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</si>
  <si>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</si>
  <si>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</si>
  <si>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</si>
  <si>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</si>
  <si>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</si>
  <si>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</si>
  <si>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</si>
  <si>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</si>
  <si>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</si>
  <si>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</si>
  <si>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</si>
  <si>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</si>
  <si>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</si>
  <si>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</si>
  <si>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</si>
  <si>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</si>
  <si>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</si>
  <si>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</si>
  <si>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</si>
  <si>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</si>
  <si>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</si>
  <si>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</si>
  <si>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</si>
  <si>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</si>
  <si>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</si>
  <si>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</si>
  <si>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</si>
  <si>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</si>
  <si>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</si>
  <si>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</si>
  <si>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</si>
  <si>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</si>
  <si>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</si>
  <si>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</si>
  <si>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</si>
  <si>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</si>
  <si>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</si>
  <si>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</si>
  <si>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</si>
  <si>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</si>
  <si>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</si>
  <si>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</si>
  <si>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</si>
  <si>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</si>
  <si>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</si>
  <si>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</si>
  <si>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</si>
  <si>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</si>
  <si>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</si>
  <si>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</si>
  <si>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</si>
  <si>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</si>
  <si>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</si>
  <si>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</si>
  <si>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</si>
  <si>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</si>
  <si>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</si>
  <si>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</si>
  <si>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</si>
  <si>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</si>
  <si>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</si>
  <si>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</si>
  <si>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</si>
  <si>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</si>
  <si>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</si>
  <si>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</si>
  <si>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</si>
  <si>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</si>
  <si>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</si>
  <si>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</si>
  <si>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</si>
  <si>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</si>
  <si>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</si>
  <si>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</si>
  <si>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</si>
  <si>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</si>
  <si>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</si>
  <si>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</si>
  <si>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</si>
  <si>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</si>
  <si>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</si>
  <si>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</si>
  <si>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</si>
  <si>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</si>
  <si>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</si>
  <si>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</si>
  <si>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</si>
  <si>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</si>
  <si>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</si>
  <si>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</si>
  <si>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</si>
  <si>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</si>
  <si>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</si>
  <si>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</si>
  <si>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</si>
  <si>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</si>
  <si>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</si>
  <si>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</si>
  <si>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</si>
  <si>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</si>
  <si>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</si>
  <si>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</si>
  <si>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</si>
  <si>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</si>
  <si>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</si>
  <si>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</si>
  <si>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</si>
  <si>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</si>
  <si>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</si>
  <si>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</si>
  <si>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</si>
  <si>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</si>
  <si>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</si>
  <si>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</si>
  <si>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</si>
  <si>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</si>
  <si>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</si>
  <si>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</si>
  <si>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</si>
  <si>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</si>
  <si>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</si>
  <si>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</si>
  <si>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</si>
  <si>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</si>
  <si>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</si>
  <si>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</si>
  <si>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</si>
  <si>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</si>
  <si>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</si>
  <si>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</si>
  <si>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</si>
  <si>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</si>
  <si>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</si>
  <si>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</si>
  <si>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</si>
  <si>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</si>
  <si>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</si>
  <si>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</si>
  <si>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</si>
  <si>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</si>
  <si>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</si>
  <si>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</si>
  <si>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</si>
  <si>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</si>
  <si>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</si>
  <si>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</si>
  <si>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</si>
  <si>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</si>
  <si>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</si>
  <si>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</si>
  <si>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</si>
  <si>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</si>
  <si>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</si>
  <si>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</si>
  <si>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</si>
  <si>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</si>
  <si>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</si>
  <si>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</si>
  <si>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</si>
  <si>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</si>
  <si>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</si>
  <si>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</si>
  <si>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</si>
  <si>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</si>
  <si>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</si>
  <si>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</si>
  <si>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</si>
  <si>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</si>
  <si>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</si>
  <si>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</si>
  <si>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</si>
  <si>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</si>
  <si>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</si>
  <si>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</si>
  <si>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</si>
  <si>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</si>
  <si>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</si>
  <si>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</si>
  <si>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</si>
  <si>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</si>
  <si>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</si>
  <si>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</si>
  <si>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</si>
  <si>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</si>
  <si>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</si>
  <si>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</si>
  <si>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</si>
  <si>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</si>
  <si>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</si>
  <si>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</si>
  <si>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</si>
  <si>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</si>
  <si>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</si>
  <si>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</si>
  <si>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</si>
  <si>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</si>
  <si>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</si>
  <si>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</si>
  <si>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</si>
  <si>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</si>
  <si>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</si>
  <si>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</si>
  <si>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</si>
  <si>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</si>
  <si>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</si>
  <si>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</si>
  <si>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</si>
  <si>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</si>
  <si>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</si>
  <si>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</si>
  <si>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</si>
  <si>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</si>
  <si>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</si>
  <si>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</si>
  <si>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</si>
  <si>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</si>
  <si>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</si>
  <si>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</si>
  <si>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</si>
  <si>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</si>
  <si>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</si>
  <si>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</si>
  <si>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</si>
  <si>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</si>
  <si>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</si>
  <si>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</si>
  <si>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</si>
  <si>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</si>
  <si>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</si>
  <si>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</si>
  <si>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</si>
  <si>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</si>
  <si>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</si>
  <si>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</si>
  <si>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</si>
  <si>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</si>
  <si>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</si>
  <si>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</si>
  <si>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</si>
  <si>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</si>
  <si>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</si>
  <si>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</si>
  <si>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</si>
  <si>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</si>
  <si>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</si>
  <si>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</si>
  <si>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</si>
  <si>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</si>
  <si>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</si>
  <si>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</si>
  <si>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</si>
  <si>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</si>
  <si>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</si>
  <si>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</si>
  <si>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</si>
  <si>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</si>
  <si>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</si>
  <si>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</si>
  <si>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</si>
  <si>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</si>
  <si>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</si>
  <si>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</si>
  <si>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</si>
  <si>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</si>
  <si>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</si>
  <si>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</si>
  <si>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</si>
  <si>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</si>
  <si>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</si>
  <si>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</si>
  <si>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</si>
  <si>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</si>
  <si>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</si>
  <si>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</si>
  <si>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</si>
  <si>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</si>
  <si>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</si>
  <si>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</si>
  <si>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</si>
  <si>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</si>
  <si>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</si>
  <si>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</si>
  <si>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</si>
  <si>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</si>
  <si>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</si>
  <si>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</si>
  <si>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</si>
  <si>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</si>
  <si>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</si>
  <si>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</si>
  <si>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</si>
  <si>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</si>
  <si>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</si>
  <si>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</si>
  <si>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</si>
  <si>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</si>
  <si>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</si>
  <si>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</si>
  <si>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</si>
  <si>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</si>
  <si>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</si>
  <si>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</si>
  <si>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</si>
  <si>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</si>
  <si>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</si>
  <si>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</si>
  <si>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</si>
  <si>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</si>
  <si>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</si>
  <si>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</si>
  <si>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</si>
  <si>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</si>
  <si>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</si>
  <si>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</si>
  <si>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</si>
  <si>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</si>
  <si>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</si>
  <si>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</si>
  <si>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</si>
  <si>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</si>
  <si>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</si>
  <si>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</si>
  <si>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</si>
  <si>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</si>
  <si>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</si>
  <si>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</si>
  <si>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</si>
  <si>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</si>
  <si>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</si>
  <si>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</si>
  <si>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</si>
  <si>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</si>
  <si>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</si>
  <si>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</si>
  <si>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</si>
  <si>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</si>
  <si>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</si>
  <si>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</si>
  <si>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</si>
  <si>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</si>
  <si>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</si>
  <si>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</si>
  <si>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</si>
  <si>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</si>
  <si>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</si>
  <si>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</si>
  <si>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</si>
  <si>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</si>
  <si>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</si>
  <si>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</si>
  <si>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</si>
  <si>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</si>
  <si>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</si>
  <si>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</si>
  <si>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</si>
  <si>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</si>
  <si>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</si>
  <si>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</si>
  <si>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</si>
  <si>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</si>
  <si>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</si>
  <si>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</si>
  <si>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</si>
  <si>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</si>
  <si>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</si>
  <si>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</si>
  <si>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</si>
  <si>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</si>
  <si>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</si>
  <si>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</si>
  <si>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</si>
  <si>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</si>
  <si>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</si>
  <si>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</si>
  <si>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</si>
  <si>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</si>
  <si>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</si>
  <si>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</si>
  <si>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</si>
  <si>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</si>
  <si>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</si>
  <si>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</si>
  <si>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</si>
  <si>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</si>
  <si>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</si>
  <si>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</si>
  <si>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</si>
  <si>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</si>
  <si>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</si>
  <si>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</si>
  <si>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</si>
  <si>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</si>
  <si>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</si>
  <si>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</si>
  <si>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</si>
  <si>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</si>
  <si>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</si>
  <si>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</si>
  <si>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</si>
  <si>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</si>
  <si>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</si>
  <si>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</si>
  <si>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</si>
  <si>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</si>
  <si>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</si>
  <si>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</si>
  <si>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</si>
  <si>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</si>
  <si>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</si>
  <si>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</si>
  <si>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</si>
  <si>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</si>
  <si>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</si>
  <si>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</si>
  <si>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</si>
  <si>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</si>
  <si>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</si>
  <si>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</si>
  <si>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</si>
  <si>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</si>
  <si>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</si>
  <si>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</si>
  <si>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</si>
  <si>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</si>
  <si>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</si>
  <si>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</si>
  <si>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</si>
  <si>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</si>
  <si>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</si>
  <si>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</si>
  <si>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</si>
  <si>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</si>
  <si>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</si>
  <si>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</si>
  <si>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</si>
  <si>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</si>
  <si>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</si>
  <si>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</si>
  <si>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</si>
  <si>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</si>
  <si>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</si>
  <si>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</si>
  <si>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</si>
  <si>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</si>
  <si>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</si>
  <si>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</si>
  <si>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</si>
  <si>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</si>
  <si>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</si>
  <si>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</si>
  <si>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</si>
  <si>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</si>
  <si>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</si>
  <si>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</si>
  <si>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</si>
  <si>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</si>
  <si>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</si>
  <si>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</si>
  <si>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</si>
  <si>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</si>
  <si>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</si>
  <si>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</si>
  <si>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</si>
  <si>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</si>
  <si>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</si>
  <si>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</si>
  <si>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</si>
  <si>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</si>
  <si>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</si>
  <si>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</si>
  <si>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</si>
  <si>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</si>
  <si>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</si>
  <si>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</si>
  <si>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</si>
  <si>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</si>
  <si>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</si>
  <si>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</si>
  <si>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</si>
  <si>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</si>
  <si>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</si>
  <si>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</si>
  <si>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</si>
  <si>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</si>
  <si>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</si>
  <si>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</si>
  <si>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</si>
  <si>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</si>
  <si>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</si>
  <si>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</si>
  <si>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</si>
  <si>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</si>
  <si>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</si>
  <si>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</si>
  <si>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</si>
  <si>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</si>
  <si>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</si>
  <si>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</si>
  <si>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</si>
  <si>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</si>
  <si>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</si>
  <si>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</si>
  <si>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</si>
  <si>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</si>
  <si>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</si>
  <si>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</si>
  <si>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</si>
  <si>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</si>
  <si>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</si>
  <si>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</si>
  <si>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</si>
  <si>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</si>
  <si>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</si>
  <si>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</si>
  <si>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</si>
  <si>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</si>
  <si>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</si>
  <si>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</si>
  <si>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</si>
  <si>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</si>
  <si>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</si>
  <si>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</si>
  <si>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</si>
  <si>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</si>
  <si>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</si>
  <si>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</si>
  <si>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</si>
  <si>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</si>
  <si>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</si>
  <si>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</si>
  <si>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</si>
  <si>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</si>
  <si>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</si>
  <si>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</si>
  <si>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</si>
  <si>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</si>
  <si>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</si>
  <si>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</si>
  <si>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</si>
  <si>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</si>
  <si>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</si>
  <si>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</si>
  <si>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</si>
  <si>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</si>
  <si>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</si>
  <si>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</si>
  <si>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</si>
  <si>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</si>
  <si>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</si>
  <si>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</si>
  <si>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</si>
  <si>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</si>
  <si>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</si>
  <si>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</si>
  <si>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</si>
  <si>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</si>
  <si>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</si>
  <si>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</si>
  <si>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</si>
  <si>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</si>
  <si>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</si>
  <si>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</si>
  <si>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</si>
  <si>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</si>
  <si>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</si>
  <si>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</si>
  <si>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</si>
  <si>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</si>
  <si>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</si>
  <si>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</si>
  <si>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</si>
  <si>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</si>
  <si>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</si>
  <si>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</si>
  <si>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</si>
  <si>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</si>
  <si>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</si>
  <si>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</si>
  <si>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</si>
  <si>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</si>
  <si>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</si>
  <si>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</si>
  <si>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</si>
  <si>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</si>
  <si>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</si>
  <si>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</si>
  <si>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</si>
  <si>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</si>
  <si>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</si>
  <si>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</si>
  <si>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</si>
  <si>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</si>
  <si>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</si>
  <si>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</si>
  <si>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</si>
  <si>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</si>
  <si>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</si>
  <si>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</si>
  <si>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</si>
  <si>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</si>
  <si>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</si>
  <si>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</si>
  <si>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</si>
  <si>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</si>
  <si>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</si>
  <si>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</si>
  <si>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</si>
  <si>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</si>
  <si>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</si>
  <si>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</si>
  <si>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</si>
  <si>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</si>
  <si>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</si>
  <si>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</si>
  <si>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</si>
  <si>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</si>
  <si>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</si>
  <si>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</si>
  <si>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</si>
  <si>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</si>
  <si>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</si>
  <si>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</si>
  <si>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</si>
  <si>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</si>
  <si>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</si>
  <si>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</si>
  <si>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</si>
  <si>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</si>
  <si>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</si>
  <si>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</si>
  <si>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</si>
  <si>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</si>
  <si>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</si>
  <si>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</si>
  <si>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</si>
  <si>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</si>
  <si>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</si>
  <si>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</si>
  <si>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</si>
  <si>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</si>
  <si>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</si>
  <si>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</si>
  <si>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</si>
  <si>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</si>
  <si>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</si>
  <si>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</si>
  <si>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</si>
  <si>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</si>
  <si>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</si>
  <si>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</si>
  <si>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</si>
  <si>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</si>
  <si>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</si>
  <si>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</si>
  <si>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</si>
  <si>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</si>
  <si>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</si>
  <si>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</si>
  <si>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</si>
  <si>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</si>
  <si>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</si>
  <si>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</si>
  <si>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</si>
  <si>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</si>
  <si>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</si>
  <si>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</si>
  <si>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</si>
  <si>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</si>
  <si>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</si>
  <si>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</si>
  <si>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</si>
  <si>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</si>
  <si>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</si>
  <si>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</si>
  <si>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</si>
  <si>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</si>
  <si>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</si>
  <si>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</si>
  <si>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</si>
  <si>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</si>
  <si>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</si>
  <si>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</si>
  <si>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</si>
  <si>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</si>
  <si>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</si>
  <si>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</si>
  <si>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</si>
  <si>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</si>
  <si>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</si>
  <si>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</si>
  <si>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</si>
  <si>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</si>
  <si>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</si>
  <si>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</si>
  <si>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</si>
  <si>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</si>
  <si>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</si>
  <si>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</si>
  <si>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</si>
  <si>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</si>
  <si>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</si>
  <si>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</si>
  <si>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</si>
  <si>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</si>
  <si>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</si>
  <si>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</si>
  <si>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</si>
  <si>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</si>
  <si>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</si>
  <si>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</si>
  <si>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</si>
  <si>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</si>
  <si>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</si>
  <si>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</si>
  <si>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</si>
  <si>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</si>
  <si>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</si>
  <si>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</si>
  <si>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</si>
  <si>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</si>
  <si>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</si>
  <si>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</si>
  <si>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</si>
  <si>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</si>
  <si>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</si>
  <si>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</si>
  <si>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</si>
  <si>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</si>
  <si>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</si>
  <si>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</si>
  <si>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</si>
  <si>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</si>
  <si>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</si>
  <si>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</si>
  <si>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</si>
  <si>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</si>
  <si>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</si>
  <si>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</si>
  <si>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</si>
  <si>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</si>
  <si>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</si>
  <si>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</si>
  <si>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</si>
  <si>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</si>
  <si>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</si>
  <si>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</si>
  <si>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</si>
  <si>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</si>
  <si>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</si>
  <si>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</si>
  <si>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</si>
  <si>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</si>
  <si>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</si>
  <si>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</si>
  <si>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</si>
  <si>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</si>
  <si>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</si>
  <si>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</si>
  <si>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</si>
  <si>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</si>
  <si>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</si>
  <si>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</si>
  <si>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</si>
  <si>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</si>
  <si>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</si>
  <si>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</si>
  <si>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</si>
  <si>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</si>
  <si>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</si>
  <si>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</si>
  <si>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</si>
  <si>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</si>
  <si>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</si>
  <si>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</si>
  <si>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</si>
  <si>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</si>
  <si>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</si>
  <si>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</si>
  <si>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</si>
  <si>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</si>
  <si>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</si>
  <si>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</si>
  <si>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</si>
  <si>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</si>
  <si>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</si>
  <si>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</si>
  <si>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</si>
  <si>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</si>
  <si>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</si>
  <si>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</si>
  <si>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</si>
  <si>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</si>
  <si>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</si>
  <si>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</si>
  <si>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</si>
  <si>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</si>
  <si>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</si>
  <si>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</si>
  <si>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</si>
  <si>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</si>
  <si>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</si>
  <si>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</si>
  <si>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</si>
  <si>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</si>
  <si>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</si>
  <si>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</si>
  <si>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</si>
  <si>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</si>
  <si>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</si>
  <si>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</si>
  <si>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</si>
  <si>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</si>
  <si>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</si>
  <si>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</si>
  <si>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</si>
  <si>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</si>
  <si>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</si>
  <si>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</si>
  <si>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</si>
  <si>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</si>
  <si>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</si>
  <si>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</si>
  <si>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</si>
  <si>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</si>
  <si>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</si>
  <si>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</si>
  <si>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</si>
  <si>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</si>
  <si>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</si>
  <si>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</si>
  <si>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</si>
  <si>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</si>
  <si>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</si>
  <si>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</si>
  <si>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</si>
  <si>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</si>
  <si>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</si>
  <si>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</si>
  <si>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</si>
  <si>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</si>
  <si>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</si>
  <si>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</si>
  <si>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</si>
  <si>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</si>
  <si>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</si>
  <si>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</si>
  <si>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</si>
  <si>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</si>
  <si>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</si>
  <si>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</si>
  <si>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</si>
  <si>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</si>
  <si>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</si>
  <si>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</si>
  <si>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</si>
  <si>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</si>
  <si>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</si>
  <si>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</si>
  <si>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</si>
  <si>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</si>
  <si>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</si>
  <si>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</si>
  <si>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</si>
  <si>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</si>
  <si>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</si>
  <si>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</si>
  <si>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</si>
  <si>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</si>
  <si>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</si>
  <si>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</si>
  <si>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</si>
  <si>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</si>
  <si>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</si>
  <si>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</si>
  <si>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</si>
  <si>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</si>
  <si>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</si>
  <si>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</si>
  <si>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</si>
  <si>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</si>
  <si>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</si>
  <si>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</si>
  <si>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</si>
  <si>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</si>
  <si>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</si>
  <si>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</si>
  <si>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</si>
  <si>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</si>
  <si>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</si>
  <si>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</si>
  <si>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</si>
  <si>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</si>
  <si>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</si>
  <si>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</si>
  <si>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</si>
  <si>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</si>
  <si>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</si>
  <si>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</si>
  <si>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</si>
  <si>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</si>
  <si>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</si>
  <si>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</si>
  <si>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</si>
  <si>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</si>
  <si>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</si>
  <si>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</si>
  <si>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</si>
  <si>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</si>
  <si>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</si>
  <si>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</si>
  <si>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</si>
  <si>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</si>
  <si>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</si>
  <si>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</si>
  <si>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</si>
  <si>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</si>
  <si>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</si>
  <si>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</si>
  <si>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</si>
  <si>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</si>
  <si>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</si>
  <si>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</si>
  <si>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</si>
  <si>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</si>
  <si>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</si>
  <si>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</si>
  <si>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</si>
  <si>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</si>
  <si>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</si>
  <si>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</si>
  <si>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</si>
  <si>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</si>
  <si>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</si>
  <si>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</si>
  <si>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</si>
  <si>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</si>
  <si>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</si>
  <si>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</si>
  <si>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</si>
  <si>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</si>
  <si>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</si>
  <si>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</si>
  <si>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</si>
  <si>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</si>
  <si>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</si>
  <si>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</si>
  <si>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</si>
  <si>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</si>
  <si>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</si>
  <si>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</si>
  <si>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</si>
  <si>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</si>
  <si>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</si>
  <si>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</si>
  <si>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</si>
  <si>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</si>
  <si>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</si>
  <si>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</si>
  <si>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</si>
  <si>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</si>
  <si>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</si>
  <si>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</si>
  <si>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</si>
  <si>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</si>
  <si>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</si>
  <si>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</si>
  <si>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</si>
  <si>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</si>
  <si>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</si>
  <si>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</si>
  <si>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REGISTROS</t>
  </si>
  <si>
    <t>FECHA INICIO</t>
  </si>
  <si>
    <t>FECHA FIN</t>
  </si>
  <si>
    <t>Age_Group</t>
  </si>
  <si>
    <t>Month</t>
  </si>
  <si>
    <t>Year</t>
  </si>
  <si>
    <t>Quarter</t>
  </si>
  <si>
    <t>KPI</t>
  </si>
  <si>
    <t>Definición</t>
  </si>
  <si>
    <t>Cálculo / Columna origen</t>
  </si>
  <si>
    <t>Total de transacciones</t>
  </si>
  <si>
    <t>Conteo total de filas validas</t>
  </si>
  <si>
    <t>Clientes unicos</t>
  </si>
  <si>
    <t>Numero de Customer ID distintos</t>
  </si>
  <si>
    <t>Ingreso total</t>
  </si>
  <si>
    <t>Suma de Total Amount</t>
  </si>
  <si>
    <t>Ticket promedio</t>
  </si>
  <si>
    <t>Promedio de Total Amount</t>
  </si>
  <si>
    <t>Unidades vendidas</t>
  </si>
  <si>
    <t>Suma de Quantity</t>
  </si>
  <si>
    <t>Ingreso por categoria</t>
  </si>
  <si>
    <t>Ingreso por genero</t>
  </si>
  <si>
    <t>Total general</t>
  </si>
  <si>
    <t>Ingreso por categoria de producto y genero</t>
  </si>
  <si>
    <t>Genero</t>
  </si>
  <si>
    <t>Categoria</t>
  </si>
  <si>
    <t>Categoria/Genero</t>
  </si>
  <si>
    <t>Ingreso por grupo de edad</t>
  </si>
  <si>
    <t>Promedio de Total Amount2</t>
  </si>
  <si>
    <t>Cuenta de Transaction ID</t>
  </si>
  <si>
    <t>Ventas por mes (serie temporal basica)</t>
  </si>
  <si>
    <t>domingo-01</t>
  </si>
  <si>
    <t>domingo-02</t>
  </si>
  <si>
    <t>domingo-03</t>
  </si>
  <si>
    <t>domingo-04</t>
  </si>
  <si>
    <t>domingo-05</t>
  </si>
  <si>
    <t>domingo-06</t>
  </si>
  <si>
    <t>domingo-07</t>
  </si>
  <si>
    <t>domingo-08</t>
  </si>
  <si>
    <t>domingo-09</t>
  </si>
  <si>
    <t>domingo-10</t>
  </si>
  <si>
    <t>domingo-11</t>
  </si>
  <si>
    <t>domingo-12</t>
  </si>
  <si>
    <t>jueves-01</t>
  </si>
  <si>
    <t>jueves-02</t>
  </si>
  <si>
    <t>jueves-03</t>
  </si>
  <si>
    <t>jueves-04</t>
  </si>
  <si>
    <t>jueves-05</t>
  </si>
  <si>
    <t>jueves-06</t>
  </si>
  <si>
    <t>jueves-07</t>
  </si>
  <si>
    <t>jueves-08</t>
  </si>
  <si>
    <t>jueves-09</t>
  </si>
  <si>
    <t>jueves-10</t>
  </si>
  <si>
    <t>jueves-11</t>
  </si>
  <si>
    <t>jueves-12</t>
  </si>
  <si>
    <t>lunes-01</t>
  </si>
  <si>
    <t>lunes-02</t>
  </si>
  <si>
    <t>lunes-03</t>
  </si>
  <si>
    <t>lunes-04</t>
  </si>
  <si>
    <t>lunes-05</t>
  </si>
  <si>
    <t>lunes-06</t>
  </si>
  <si>
    <t>lunes-07</t>
  </si>
  <si>
    <t>lunes-08</t>
  </si>
  <si>
    <t>lunes-09</t>
  </si>
  <si>
    <t>lunes-10</t>
  </si>
  <si>
    <t>lunes-11</t>
  </si>
  <si>
    <t>lunes-12</t>
  </si>
  <si>
    <t>martes-01</t>
  </si>
  <si>
    <t>martes-02</t>
  </si>
  <si>
    <t>martes-03</t>
  </si>
  <si>
    <t>martes-04</t>
  </si>
  <si>
    <t>martes-05</t>
  </si>
  <si>
    <t>martes-06</t>
  </si>
  <si>
    <t>martes-07</t>
  </si>
  <si>
    <t>martes-08</t>
  </si>
  <si>
    <t>martes-09</t>
  </si>
  <si>
    <t>martes-10</t>
  </si>
  <si>
    <t>martes-11</t>
  </si>
  <si>
    <t>martes-12</t>
  </si>
  <si>
    <t>miércoles-01</t>
  </si>
  <si>
    <t>miércoles-02</t>
  </si>
  <si>
    <t>miércoles-03</t>
  </si>
  <si>
    <t>miércoles-04</t>
  </si>
  <si>
    <t>miércoles-05</t>
  </si>
  <si>
    <t>miércoles-06</t>
  </si>
  <si>
    <t>miércoles-07</t>
  </si>
  <si>
    <t>miércoles-08</t>
  </si>
  <si>
    <t>miércoles-09</t>
  </si>
  <si>
    <t>miércoles-10</t>
  </si>
  <si>
    <t>miércoles-11</t>
  </si>
  <si>
    <t>miércoles-12</t>
  </si>
  <si>
    <t>sábado-01</t>
  </si>
  <si>
    <t>sábado-02</t>
  </si>
  <si>
    <t>sábado-03</t>
  </si>
  <si>
    <t>sábado-04</t>
  </si>
  <si>
    <t>sábado-05</t>
  </si>
  <si>
    <t>sábado-06</t>
  </si>
  <si>
    <t>sábado-07</t>
  </si>
  <si>
    <t>sábado-08</t>
  </si>
  <si>
    <t>sábado-09</t>
  </si>
  <si>
    <t>sábado-10</t>
  </si>
  <si>
    <t>sábado-11</t>
  </si>
  <si>
    <t>sábado-12</t>
  </si>
  <si>
    <t>viernes-01</t>
  </si>
  <si>
    <t>viernes-02</t>
  </si>
  <si>
    <t>viernes-03</t>
  </si>
  <si>
    <t>viernes-04</t>
  </si>
  <si>
    <t>viernes-05</t>
  </si>
  <si>
    <t>viernes-06</t>
  </si>
  <si>
    <t>viernes-07</t>
  </si>
  <si>
    <t>viernes-08</t>
  </si>
  <si>
    <t>viernes-09</t>
  </si>
  <si>
    <t>viernes-10</t>
  </si>
  <si>
    <t>viernes-11</t>
  </si>
  <si>
    <t>viernes-12</t>
  </si>
  <si>
    <t>Top 10 clientes por ingreso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</si>
</sst>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\ #,##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1A1A1A"/>
      <name val="Arial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D9E7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172" fontId="3" fillId="4" borderId="4" xfId="0" applyNumberFormat="1" applyFont="1" applyFill="1" applyBorder="1" applyAlignment="1">
      <alignment vertical="center" wrapText="1"/>
    </xf>
    <xf numFmtId="172" fontId="3" fillId="3" borderId="4" xfId="0" applyNumberFormat="1" applyFont="1" applyFill="1" applyBorder="1" applyAlignment="1">
      <alignment vertical="center" wrapText="1"/>
    </xf>
    <xf numFmtId="3" fontId="3" fillId="3" borderId="4" xfId="0" applyNumberFormat="1" applyFont="1" applyFill="1" applyBorder="1" applyAlignment="1">
      <alignment vertical="center" wrapText="1"/>
    </xf>
    <xf numFmtId="0" fontId="4" fillId="0" borderId="0" xfId="0" applyFont="1"/>
    <xf numFmtId="0" fontId="5" fillId="5" borderId="0" xfId="0" applyFont="1" applyFill="1" applyAlignment="1">
      <alignment horizontal="center"/>
    </xf>
    <xf numFmtId="0" fontId="4" fillId="0" borderId="0" xfId="0" pivotButton="1" applyFont="1"/>
    <xf numFmtId="0" fontId="4" fillId="0" borderId="0" xfId="0" applyFont="1" applyAlignment="1">
      <alignment horizontal="left"/>
    </xf>
    <xf numFmtId="172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205"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2" formatCode="&quot;$&quot;\ 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3" formatCode="0.0"/>
    </dxf>
    <dxf>
      <numFmt numFmtId="1" formatCode="0"/>
    </dxf>
    <dxf>
      <numFmt numFmtId="172" formatCode="&quot;$&quot;\ #,##0"/>
    </dxf>
    <dxf>
      <numFmt numFmtId="173" formatCode="0.0"/>
    </dxf>
    <dxf>
      <numFmt numFmtId="2" formatCode="0.00"/>
    </dxf>
    <dxf>
      <numFmt numFmtId="172" formatCode="&quot;$&quot;\ #,##0"/>
    </dxf>
    <dxf>
      <numFmt numFmtId="2" formatCode="0.00"/>
    </dxf>
    <dxf>
      <numFmt numFmtId="0" formatCode="General"/>
    </dxf>
    <dxf>
      <numFmt numFmtId="172" formatCode="&quot;$&quot;\ #,##0"/>
    </dxf>
    <dxf>
      <numFmt numFmtId="0" formatCode="General"/>
    </dxf>
    <dxf>
      <numFmt numFmtId="172" formatCode="&quot;$&quot;\ #,##0"/>
    </dxf>
    <dxf>
      <numFmt numFmtId="172" formatCode="&quot;$&quot;\ #,##0"/>
    </dxf>
    <dxf>
      <numFmt numFmtId="172" formatCode="&quot;$&quot;\ #,##0"/>
    </dxf>
    <dxf>
      <numFmt numFmtId="172" formatCode="&quot;$&quot;\ #,##0"/>
    </dxf>
    <dxf>
      <numFmt numFmtId="172" formatCode="&quot;$&quot;\ #,##0"/>
    </dxf>
    <dxf>
      <numFmt numFmtId="172" formatCode="&quot;$&quot;\ #,##0"/>
    </dxf>
    <dxf>
      <numFmt numFmtId="172" formatCode="&quot;$&quot;\ #,##0"/>
    </dxf>
    <dxf>
      <numFmt numFmtId="172" formatCode="&quot;$&quot;\ #,##0"/>
    </dxf>
    <dxf>
      <numFmt numFmtId="172" formatCode="&quot;$&quot;\ #,##0"/>
    </dxf>
    <dxf>
      <numFmt numFmtId="172" formatCode="&quot;$&quot;\ #,##0"/>
    </dxf>
    <dxf>
      <numFmt numFmtId="172" formatCode="&quot;$&quot;\ #,##0"/>
    </dxf>
    <dxf>
      <numFmt numFmtId="172" formatCode="&quot;$&quot;\ #,##0"/>
    </dxf>
    <dxf>
      <numFmt numFmtId="172" formatCode="&quot;$&quot;\ #,##0"/>
    </dxf>
    <dxf>
      <numFmt numFmtId="172" formatCode="&quot;$&quot;\ #,##0"/>
    </dxf>
    <dxf>
      <numFmt numFmtId="172" formatCode="&quot;$&quot;\ #,##0"/>
    </dxf>
    <dxf>
      <numFmt numFmtId="172" formatCode="&quot;$&quot;\ #,##0"/>
    </dxf>
    <dxf>
      <numFmt numFmtId="171" formatCode="&quot;$&quot;\ #,##0.0"/>
    </dxf>
    <dxf>
      <numFmt numFmtId="171" formatCode="&quot;$&quot;\ #,##0.0"/>
    </dxf>
    <dxf>
      <numFmt numFmtId="170" formatCode="&quot;$&quot;\ #,##0.00"/>
    </dxf>
    <dxf>
      <numFmt numFmtId="170" formatCode="&quot;$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[RetailX_Proyecto.xlsx]04_PIVOT!TablaDinámica3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'04_PIVOT'!$H$4</c:f>
              <c:strCache>
                <c:ptCount val="1"/>
                <c:pt idx="0">
                  <c:v>Suma de Total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'04_PIVOT'!$G$5:$G$89</c:f>
              <c:strCache>
                <c:ptCount val="84"/>
                <c:pt idx="0">
                  <c:v>domingo-01</c:v>
                </c:pt>
                <c:pt idx="1">
                  <c:v>domingo-02</c:v>
                </c:pt>
                <c:pt idx="2">
                  <c:v>domingo-03</c:v>
                </c:pt>
                <c:pt idx="3">
                  <c:v>domingo-04</c:v>
                </c:pt>
                <c:pt idx="4">
                  <c:v>domingo-05</c:v>
                </c:pt>
                <c:pt idx="5">
                  <c:v>domingo-06</c:v>
                </c:pt>
                <c:pt idx="6">
                  <c:v>domingo-07</c:v>
                </c:pt>
                <c:pt idx="7">
                  <c:v>domingo-08</c:v>
                </c:pt>
                <c:pt idx="8">
                  <c:v>domingo-09</c:v>
                </c:pt>
                <c:pt idx="9">
                  <c:v>domingo-10</c:v>
                </c:pt>
                <c:pt idx="10">
                  <c:v>domingo-11</c:v>
                </c:pt>
                <c:pt idx="11">
                  <c:v>domingo-12</c:v>
                </c:pt>
                <c:pt idx="12">
                  <c:v>jueves-01</c:v>
                </c:pt>
                <c:pt idx="13">
                  <c:v>jueves-02</c:v>
                </c:pt>
                <c:pt idx="14">
                  <c:v>jueves-03</c:v>
                </c:pt>
                <c:pt idx="15">
                  <c:v>jueves-04</c:v>
                </c:pt>
                <c:pt idx="16">
                  <c:v>jueves-05</c:v>
                </c:pt>
                <c:pt idx="17">
                  <c:v>jueves-06</c:v>
                </c:pt>
                <c:pt idx="18">
                  <c:v>jueves-07</c:v>
                </c:pt>
                <c:pt idx="19">
                  <c:v>jueves-08</c:v>
                </c:pt>
                <c:pt idx="20">
                  <c:v>jueves-09</c:v>
                </c:pt>
                <c:pt idx="21">
                  <c:v>jueves-10</c:v>
                </c:pt>
                <c:pt idx="22">
                  <c:v>jueves-11</c:v>
                </c:pt>
                <c:pt idx="23">
                  <c:v>jueves-12</c:v>
                </c:pt>
                <c:pt idx="24">
                  <c:v>lunes-01</c:v>
                </c:pt>
                <c:pt idx="25">
                  <c:v>lunes-02</c:v>
                </c:pt>
                <c:pt idx="26">
                  <c:v>lunes-03</c:v>
                </c:pt>
                <c:pt idx="27">
                  <c:v>lunes-04</c:v>
                </c:pt>
                <c:pt idx="28">
                  <c:v>lunes-05</c:v>
                </c:pt>
                <c:pt idx="29">
                  <c:v>lunes-06</c:v>
                </c:pt>
                <c:pt idx="30">
                  <c:v>lunes-07</c:v>
                </c:pt>
                <c:pt idx="31">
                  <c:v>lunes-08</c:v>
                </c:pt>
                <c:pt idx="32">
                  <c:v>lunes-09</c:v>
                </c:pt>
                <c:pt idx="33">
                  <c:v>lunes-10</c:v>
                </c:pt>
                <c:pt idx="34">
                  <c:v>lunes-11</c:v>
                </c:pt>
                <c:pt idx="35">
                  <c:v>lunes-12</c:v>
                </c:pt>
                <c:pt idx="36">
                  <c:v>martes-01</c:v>
                </c:pt>
                <c:pt idx="37">
                  <c:v>martes-02</c:v>
                </c:pt>
                <c:pt idx="38">
                  <c:v>martes-03</c:v>
                </c:pt>
                <c:pt idx="39">
                  <c:v>martes-04</c:v>
                </c:pt>
                <c:pt idx="40">
                  <c:v>martes-05</c:v>
                </c:pt>
                <c:pt idx="41">
                  <c:v>martes-06</c:v>
                </c:pt>
                <c:pt idx="42">
                  <c:v>martes-07</c:v>
                </c:pt>
                <c:pt idx="43">
                  <c:v>martes-08</c:v>
                </c:pt>
                <c:pt idx="44">
                  <c:v>martes-09</c:v>
                </c:pt>
                <c:pt idx="45">
                  <c:v>martes-10</c:v>
                </c:pt>
                <c:pt idx="46">
                  <c:v>martes-11</c:v>
                </c:pt>
                <c:pt idx="47">
                  <c:v>martes-12</c:v>
                </c:pt>
                <c:pt idx="48">
                  <c:v>miércoles-01</c:v>
                </c:pt>
                <c:pt idx="49">
                  <c:v>miércoles-02</c:v>
                </c:pt>
                <c:pt idx="50">
                  <c:v>miércoles-03</c:v>
                </c:pt>
                <c:pt idx="51">
                  <c:v>miércoles-04</c:v>
                </c:pt>
                <c:pt idx="52">
                  <c:v>miércoles-05</c:v>
                </c:pt>
                <c:pt idx="53">
                  <c:v>miércoles-06</c:v>
                </c:pt>
                <c:pt idx="54">
                  <c:v>miércoles-07</c:v>
                </c:pt>
                <c:pt idx="55">
                  <c:v>miércoles-08</c:v>
                </c:pt>
                <c:pt idx="56">
                  <c:v>miércoles-09</c:v>
                </c:pt>
                <c:pt idx="57">
                  <c:v>miércoles-10</c:v>
                </c:pt>
                <c:pt idx="58">
                  <c:v>miércoles-11</c:v>
                </c:pt>
                <c:pt idx="59">
                  <c:v>miércoles-12</c:v>
                </c:pt>
                <c:pt idx="60">
                  <c:v>sábado-01</c:v>
                </c:pt>
                <c:pt idx="61">
                  <c:v>sábado-02</c:v>
                </c:pt>
                <c:pt idx="62">
                  <c:v>sábado-03</c:v>
                </c:pt>
                <c:pt idx="63">
                  <c:v>sábado-04</c:v>
                </c:pt>
                <c:pt idx="64">
                  <c:v>sábado-05</c:v>
                </c:pt>
                <c:pt idx="65">
                  <c:v>sábado-06</c:v>
                </c:pt>
                <c:pt idx="66">
                  <c:v>sábado-07</c:v>
                </c:pt>
                <c:pt idx="67">
                  <c:v>sábado-08</c:v>
                </c:pt>
                <c:pt idx="68">
                  <c:v>sábado-09</c:v>
                </c:pt>
                <c:pt idx="69">
                  <c:v>sábado-10</c:v>
                </c:pt>
                <c:pt idx="70">
                  <c:v>sábado-11</c:v>
                </c:pt>
                <c:pt idx="71">
                  <c:v>sábado-12</c:v>
                </c:pt>
                <c:pt idx="72">
                  <c:v>viernes-01</c:v>
                </c:pt>
                <c:pt idx="73">
                  <c:v>viernes-02</c:v>
                </c:pt>
                <c:pt idx="74">
                  <c:v>viernes-03</c:v>
                </c:pt>
                <c:pt idx="75">
                  <c:v>viernes-04</c:v>
                </c:pt>
                <c:pt idx="76">
                  <c:v>viernes-05</c:v>
                </c:pt>
                <c:pt idx="77">
                  <c:v>viernes-06</c:v>
                </c:pt>
                <c:pt idx="78">
                  <c:v>viernes-07</c:v>
                </c:pt>
                <c:pt idx="79">
                  <c:v>viernes-08</c:v>
                </c:pt>
                <c:pt idx="80">
                  <c:v>viernes-09</c:v>
                </c:pt>
                <c:pt idx="81">
                  <c:v>viernes-10</c:v>
                </c:pt>
                <c:pt idx="82">
                  <c:v>viernes-11</c:v>
                </c:pt>
                <c:pt idx="83">
                  <c:v>viernes-12</c:v>
                </c:pt>
              </c:strCache>
            </c:strRef>
          </c:cat>
          <c:val>
            <c:numRef>
              <c:f>'04_PIVOT'!$H$5:$H$89</c:f>
              <c:numCache>
                <c:formatCode>"$"\ #,##0</c:formatCode>
                <c:ptCount val="84"/>
                <c:pt idx="0">
                  <c:v>5810</c:v>
                </c:pt>
                <c:pt idx="1">
                  <c:v>4380</c:v>
                </c:pt>
                <c:pt idx="2">
                  <c:v>2445</c:v>
                </c:pt>
                <c:pt idx="3">
                  <c:v>8195</c:v>
                </c:pt>
                <c:pt idx="4">
                  <c:v>5030</c:v>
                </c:pt>
                <c:pt idx="5">
                  <c:v>6130</c:v>
                </c:pt>
                <c:pt idx="6">
                  <c:v>2785</c:v>
                </c:pt>
                <c:pt idx="7">
                  <c:v>5015</c:v>
                </c:pt>
                <c:pt idx="8">
                  <c:v>1590</c:v>
                </c:pt>
                <c:pt idx="9">
                  <c:v>9525</c:v>
                </c:pt>
                <c:pt idx="10">
                  <c:v>3925</c:v>
                </c:pt>
                <c:pt idx="11">
                  <c:v>3770</c:v>
                </c:pt>
                <c:pt idx="12">
                  <c:v>3700</c:v>
                </c:pt>
                <c:pt idx="13">
                  <c:v>2905</c:v>
                </c:pt>
                <c:pt idx="14">
                  <c:v>3650</c:v>
                </c:pt>
                <c:pt idx="15">
                  <c:v>6365</c:v>
                </c:pt>
                <c:pt idx="16">
                  <c:v>4320</c:v>
                </c:pt>
                <c:pt idx="17">
                  <c:v>5450</c:v>
                </c:pt>
                <c:pt idx="18">
                  <c:v>3550</c:v>
                </c:pt>
                <c:pt idx="19">
                  <c:v>5140</c:v>
                </c:pt>
                <c:pt idx="20">
                  <c:v>2150</c:v>
                </c:pt>
                <c:pt idx="21">
                  <c:v>3605</c:v>
                </c:pt>
                <c:pt idx="22">
                  <c:v>8565</c:v>
                </c:pt>
                <c:pt idx="23">
                  <c:v>4435</c:v>
                </c:pt>
                <c:pt idx="24">
                  <c:v>11355</c:v>
                </c:pt>
                <c:pt idx="25">
                  <c:v>7180</c:v>
                </c:pt>
                <c:pt idx="26">
                  <c:v>4465</c:v>
                </c:pt>
                <c:pt idx="27">
                  <c:v>255</c:v>
                </c:pt>
                <c:pt idx="28">
                  <c:v>9515</c:v>
                </c:pt>
                <c:pt idx="29">
                  <c:v>5225</c:v>
                </c:pt>
                <c:pt idx="30">
                  <c:v>7290</c:v>
                </c:pt>
                <c:pt idx="31">
                  <c:v>4160</c:v>
                </c:pt>
                <c:pt idx="32">
                  <c:v>5290</c:v>
                </c:pt>
                <c:pt idx="33">
                  <c:v>5175</c:v>
                </c:pt>
                <c:pt idx="34">
                  <c:v>4210</c:v>
                </c:pt>
                <c:pt idx="35">
                  <c:v>6130</c:v>
                </c:pt>
                <c:pt idx="36">
                  <c:v>6825</c:v>
                </c:pt>
                <c:pt idx="37">
                  <c:v>5065</c:v>
                </c:pt>
                <c:pt idx="38">
                  <c:v>6640</c:v>
                </c:pt>
                <c:pt idx="39">
                  <c:v>2330</c:v>
                </c:pt>
                <c:pt idx="40">
                  <c:v>16680</c:v>
                </c:pt>
                <c:pt idx="41">
                  <c:v>3540</c:v>
                </c:pt>
                <c:pt idx="42">
                  <c:v>2700</c:v>
                </c:pt>
                <c:pt idx="43">
                  <c:v>6980</c:v>
                </c:pt>
                <c:pt idx="44">
                  <c:v>790</c:v>
                </c:pt>
                <c:pt idx="45">
                  <c:v>8455</c:v>
                </c:pt>
                <c:pt idx="46">
                  <c:v>4090</c:v>
                </c:pt>
                <c:pt idx="47">
                  <c:v>5345</c:v>
                </c:pt>
                <c:pt idx="48">
                  <c:v>1570</c:v>
                </c:pt>
                <c:pt idx="49">
                  <c:v>5425</c:v>
                </c:pt>
                <c:pt idx="50">
                  <c:v>3375</c:v>
                </c:pt>
                <c:pt idx="51">
                  <c:v>6685</c:v>
                </c:pt>
                <c:pt idx="52">
                  <c:v>7900</c:v>
                </c:pt>
                <c:pt idx="53">
                  <c:v>1525</c:v>
                </c:pt>
                <c:pt idx="54">
                  <c:v>3870</c:v>
                </c:pt>
                <c:pt idx="55">
                  <c:v>2790</c:v>
                </c:pt>
                <c:pt idx="56">
                  <c:v>1815</c:v>
                </c:pt>
                <c:pt idx="57">
                  <c:v>10785</c:v>
                </c:pt>
                <c:pt idx="58">
                  <c:v>7315</c:v>
                </c:pt>
                <c:pt idx="59">
                  <c:v>5715</c:v>
                </c:pt>
                <c:pt idx="60">
                  <c:v>4810</c:v>
                </c:pt>
                <c:pt idx="61">
                  <c:v>6885</c:v>
                </c:pt>
                <c:pt idx="62">
                  <c:v>4745</c:v>
                </c:pt>
                <c:pt idx="63">
                  <c:v>9735</c:v>
                </c:pt>
                <c:pt idx="64">
                  <c:v>4715</c:v>
                </c:pt>
                <c:pt idx="65">
                  <c:v>11445</c:v>
                </c:pt>
                <c:pt idx="66">
                  <c:v>5695</c:v>
                </c:pt>
                <c:pt idx="67">
                  <c:v>9690</c:v>
                </c:pt>
                <c:pt idx="68">
                  <c:v>6720</c:v>
                </c:pt>
                <c:pt idx="69">
                  <c:v>2660</c:v>
                </c:pt>
                <c:pt idx="70">
                  <c:v>1780</c:v>
                </c:pt>
                <c:pt idx="71">
                  <c:v>9935</c:v>
                </c:pt>
                <c:pt idx="72">
                  <c:v>2910</c:v>
                </c:pt>
                <c:pt idx="73">
                  <c:v>12220</c:v>
                </c:pt>
                <c:pt idx="74">
                  <c:v>3670</c:v>
                </c:pt>
                <c:pt idx="75">
                  <c:v>305</c:v>
                </c:pt>
                <c:pt idx="76">
                  <c:v>4990</c:v>
                </c:pt>
                <c:pt idx="77">
                  <c:v>3400</c:v>
                </c:pt>
                <c:pt idx="78">
                  <c:v>9575</c:v>
                </c:pt>
                <c:pt idx="79">
                  <c:v>3185</c:v>
                </c:pt>
                <c:pt idx="80">
                  <c:v>5265</c:v>
                </c:pt>
                <c:pt idx="81">
                  <c:v>6375</c:v>
                </c:pt>
                <c:pt idx="82">
                  <c:v>5035</c:v>
                </c:pt>
                <c:pt idx="83">
                  <c:v>9360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43-454E-B94A-ECB5F85B8DCB}"/>
            </c:ext>
          </c:extLst>
        </c:ser>
        <c:ser>
          <c:idx val="1"/>
          <c:order val="1"/>
          <c:tx>
            <c:strRef>
              <c:f>'04_PIVOT'!$I$4</c:f>
              <c:strCache>
                <c:ptCount val="1"/>
                <c:pt idx="0">
                  <c:v>Cuenta de Transaction 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'04_PIVOT'!$G$5:$G$89</c:f>
              <c:strCache>
                <c:ptCount val="84"/>
                <c:pt idx="0">
                  <c:v>domingo-01</c:v>
                </c:pt>
                <c:pt idx="1">
                  <c:v>domingo-02</c:v>
                </c:pt>
                <c:pt idx="2">
                  <c:v>domingo-03</c:v>
                </c:pt>
                <c:pt idx="3">
                  <c:v>domingo-04</c:v>
                </c:pt>
                <c:pt idx="4">
                  <c:v>domingo-05</c:v>
                </c:pt>
                <c:pt idx="5">
                  <c:v>domingo-06</c:v>
                </c:pt>
                <c:pt idx="6">
                  <c:v>domingo-07</c:v>
                </c:pt>
                <c:pt idx="7">
                  <c:v>domingo-08</c:v>
                </c:pt>
                <c:pt idx="8">
                  <c:v>domingo-09</c:v>
                </c:pt>
                <c:pt idx="9">
                  <c:v>domingo-10</c:v>
                </c:pt>
                <c:pt idx="10">
                  <c:v>domingo-11</c:v>
                </c:pt>
                <c:pt idx="11">
                  <c:v>domingo-12</c:v>
                </c:pt>
                <c:pt idx="12">
                  <c:v>jueves-01</c:v>
                </c:pt>
                <c:pt idx="13">
                  <c:v>jueves-02</c:v>
                </c:pt>
                <c:pt idx="14">
                  <c:v>jueves-03</c:v>
                </c:pt>
                <c:pt idx="15">
                  <c:v>jueves-04</c:v>
                </c:pt>
                <c:pt idx="16">
                  <c:v>jueves-05</c:v>
                </c:pt>
                <c:pt idx="17">
                  <c:v>jueves-06</c:v>
                </c:pt>
                <c:pt idx="18">
                  <c:v>jueves-07</c:v>
                </c:pt>
                <c:pt idx="19">
                  <c:v>jueves-08</c:v>
                </c:pt>
                <c:pt idx="20">
                  <c:v>jueves-09</c:v>
                </c:pt>
                <c:pt idx="21">
                  <c:v>jueves-10</c:v>
                </c:pt>
                <c:pt idx="22">
                  <c:v>jueves-11</c:v>
                </c:pt>
                <c:pt idx="23">
                  <c:v>jueves-12</c:v>
                </c:pt>
                <c:pt idx="24">
                  <c:v>lunes-01</c:v>
                </c:pt>
                <c:pt idx="25">
                  <c:v>lunes-02</c:v>
                </c:pt>
                <c:pt idx="26">
                  <c:v>lunes-03</c:v>
                </c:pt>
                <c:pt idx="27">
                  <c:v>lunes-04</c:v>
                </c:pt>
                <c:pt idx="28">
                  <c:v>lunes-05</c:v>
                </c:pt>
                <c:pt idx="29">
                  <c:v>lunes-06</c:v>
                </c:pt>
                <c:pt idx="30">
                  <c:v>lunes-07</c:v>
                </c:pt>
                <c:pt idx="31">
                  <c:v>lunes-08</c:v>
                </c:pt>
                <c:pt idx="32">
                  <c:v>lunes-09</c:v>
                </c:pt>
                <c:pt idx="33">
                  <c:v>lunes-10</c:v>
                </c:pt>
                <c:pt idx="34">
                  <c:v>lunes-11</c:v>
                </c:pt>
                <c:pt idx="35">
                  <c:v>lunes-12</c:v>
                </c:pt>
                <c:pt idx="36">
                  <c:v>martes-01</c:v>
                </c:pt>
                <c:pt idx="37">
                  <c:v>martes-02</c:v>
                </c:pt>
                <c:pt idx="38">
                  <c:v>martes-03</c:v>
                </c:pt>
                <c:pt idx="39">
                  <c:v>martes-04</c:v>
                </c:pt>
                <c:pt idx="40">
                  <c:v>martes-05</c:v>
                </c:pt>
                <c:pt idx="41">
                  <c:v>martes-06</c:v>
                </c:pt>
                <c:pt idx="42">
                  <c:v>martes-07</c:v>
                </c:pt>
                <c:pt idx="43">
                  <c:v>martes-08</c:v>
                </c:pt>
                <c:pt idx="44">
                  <c:v>martes-09</c:v>
                </c:pt>
                <c:pt idx="45">
                  <c:v>martes-10</c:v>
                </c:pt>
                <c:pt idx="46">
                  <c:v>martes-11</c:v>
                </c:pt>
                <c:pt idx="47">
                  <c:v>martes-12</c:v>
                </c:pt>
                <c:pt idx="48">
                  <c:v>miércoles-01</c:v>
                </c:pt>
                <c:pt idx="49">
                  <c:v>miércoles-02</c:v>
                </c:pt>
                <c:pt idx="50">
                  <c:v>miércoles-03</c:v>
                </c:pt>
                <c:pt idx="51">
                  <c:v>miércoles-04</c:v>
                </c:pt>
                <c:pt idx="52">
                  <c:v>miércoles-05</c:v>
                </c:pt>
                <c:pt idx="53">
                  <c:v>miércoles-06</c:v>
                </c:pt>
                <c:pt idx="54">
                  <c:v>miércoles-07</c:v>
                </c:pt>
                <c:pt idx="55">
                  <c:v>miércoles-08</c:v>
                </c:pt>
                <c:pt idx="56">
                  <c:v>miércoles-09</c:v>
                </c:pt>
                <c:pt idx="57">
                  <c:v>miércoles-10</c:v>
                </c:pt>
                <c:pt idx="58">
                  <c:v>miércoles-11</c:v>
                </c:pt>
                <c:pt idx="59">
                  <c:v>miércoles-12</c:v>
                </c:pt>
                <c:pt idx="60">
                  <c:v>sábado-01</c:v>
                </c:pt>
                <c:pt idx="61">
                  <c:v>sábado-02</c:v>
                </c:pt>
                <c:pt idx="62">
                  <c:v>sábado-03</c:v>
                </c:pt>
                <c:pt idx="63">
                  <c:v>sábado-04</c:v>
                </c:pt>
                <c:pt idx="64">
                  <c:v>sábado-05</c:v>
                </c:pt>
                <c:pt idx="65">
                  <c:v>sábado-06</c:v>
                </c:pt>
                <c:pt idx="66">
                  <c:v>sábado-07</c:v>
                </c:pt>
                <c:pt idx="67">
                  <c:v>sábado-08</c:v>
                </c:pt>
                <c:pt idx="68">
                  <c:v>sábado-09</c:v>
                </c:pt>
                <c:pt idx="69">
                  <c:v>sábado-10</c:v>
                </c:pt>
                <c:pt idx="70">
                  <c:v>sábado-11</c:v>
                </c:pt>
                <c:pt idx="71">
                  <c:v>sábado-12</c:v>
                </c:pt>
                <c:pt idx="72">
                  <c:v>viernes-01</c:v>
                </c:pt>
                <c:pt idx="73">
                  <c:v>viernes-02</c:v>
                </c:pt>
                <c:pt idx="74">
                  <c:v>viernes-03</c:v>
                </c:pt>
                <c:pt idx="75">
                  <c:v>viernes-04</c:v>
                </c:pt>
                <c:pt idx="76">
                  <c:v>viernes-05</c:v>
                </c:pt>
                <c:pt idx="77">
                  <c:v>viernes-06</c:v>
                </c:pt>
                <c:pt idx="78">
                  <c:v>viernes-07</c:v>
                </c:pt>
                <c:pt idx="79">
                  <c:v>viernes-08</c:v>
                </c:pt>
                <c:pt idx="80">
                  <c:v>viernes-09</c:v>
                </c:pt>
                <c:pt idx="81">
                  <c:v>viernes-10</c:v>
                </c:pt>
                <c:pt idx="82">
                  <c:v>viernes-11</c:v>
                </c:pt>
                <c:pt idx="83">
                  <c:v>viernes-12</c:v>
                </c:pt>
              </c:strCache>
            </c:strRef>
          </c:cat>
          <c:val>
            <c:numRef>
              <c:f>'04_PIVOT'!$I$5:$I$89</c:f>
              <c:numCache>
                <c:formatCode>"$"\ #,##0</c:formatCode>
                <c:ptCount val="84"/>
                <c:pt idx="0">
                  <c:v>11</c:v>
                </c:pt>
                <c:pt idx="1">
                  <c:v>12</c:v>
                </c:pt>
                <c:pt idx="2">
                  <c:v>9</c:v>
                </c:pt>
                <c:pt idx="3">
                  <c:v>21</c:v>
                </c:pt>
                <c:pt idx="4">
                  <c:v>12</c:v>
                </c:pt>
                <c:pt idx="5">
                  <c:v>11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17</c:v>
                </c:pt>
                <c:pt idx="10">
                  <c:v>8</c:v>
                </c:pt>
                <c:pt idx="11">
                  <c:v>10</c:v>
                </c:pt>
                <c:pt idx="12">
                  <c:v>8</c:v>
                </c:pt>
                <c:pt idx="13">
                  <c:v>6</c:v>
                </c:pt>
                <c:pt idx="14">
                  <c:v>9</c:v>
                </c:pt>
                <c:pt idx="15">
                  <c:v>12</c:v>
                </c:pt>
                <c:pt idx="16">
                  <c:v>9</c:v>
                </c:pt>
                <c:pt idx="17">
                  <c:v>14</c:v>
                </c:pt>
                <c:pt idx="18">
                  <c:v>7</c:v>
                </c:pt>
                <c:pt idx="19">
                  <c:v>13</c:v>
                </c:pt>
                <c:pt idx="20">
                  <c:v>9</c:v>
                </c:pt>
                <c:pt idx="21">
                  <c:v>12</c:v>
                </c:pt>
                <c:pt idx="22">
                  <c:v>16</c:v>
                </c:pt>
                <c:pt idx="23">
                  <c:v>8</c:v>
                </c:pt>
                <c:pt idx="24">
                  <c:v>16</c:v>
                </c:pt>
                <c:pt idx="25">
                  <c:v>15</c:v>
                </c:pt>
                <c:pt idx="26">
                  <c:v>14</c:v>
                </c:pt>
                <c:pt idx="27">
                  <c:v>5</c:v>
                </c:pt>
                <c:pt idx="28">
                  <c:v>17</c:v>
                </c:pt>
                <c:pt idx="29">
                  <c:v>11</c:v>
                </c:pt>
                <c:pt idx="30">
                  <c:v>10</c:v>
                </c:pt>
                <c:pt idx="31">
                  <c:v>13</c:v>
                </c:pt>
                <c:pt idx="32">
                  <c:v>9</c:v>
                </c:pt>
                <c:pt idx="33">
                  <c:v>17</c:v>
                </c:pt>
                <c:pt idx="34">
                  <c:v>8</c:v>
                </c:pt>
                <c:pt idx="35">
                  <c:v>11</c:v>
                </c:pt>
                <c:pt idx="36">
                  <c:v>13</c:v>
                </c:pt>
                <c:pt idx="37">
                  <c:v>13</c:v>
                </c:pt>
                <c:pt idx="38">
                  <c:v>9</c:v>
                </c:pt>
                <c:pt idx="39">
                  <c:v>11</c:v>
                </c:pt>
                <c:pt idx="40">
                  <c:v>28</c:v>
                </c:pt>
                <c:pt idx="41">
                  <c:v>8</c:v>
                </c:pt>
                <c:pt idx="42">
                  <c:v>6</c:v>
                </c:pt>
                <c:pt idx="43">
                  <c:v>19</c:v>
                </c:pt>
                <c:pt idx="44">
                  <c:v>5</c:v>
                </c:pt>
                <c:pt idx="45">
                  <c:v>18</c:v>
                </c:pt>
                <c:pt idx="46">
                  <c:v>15</c:v>
                </c:pt>
                <c:pt idx="47">
                  <c:v>16</c:v>
                </c:pt>
                <c:pt idx="48">
                  <c:v>7</c:v>
                </c:pt>
                <c:pt idx="49">
                  <c:v>12</c:v>
                </c:pt>
                <c:pt idx="50">
                  <c:v>11</c:v>
                </c:pt>
                <c:pt idx="51">
                  <c:v>16</c:v>
                </c:pt>
                <c:pt idx="52">
                  <c:v>14</c:v>
                </c:pt>
                <c:pt idx="53">
                  <c:v>6</c:v>
                </c:pt>
                <c:pt idx="54">
                  <c:v>12</c:v>
                </c:pt>
                <c:pt idx="55">
                  <c:v>8</c:v>
                </c:pt>
                <c:pt idx="56">
                  <c:v>6</c:v>
                </c:pt>
                <c:pt idx="57">
                  <c:v>17</c:v>
                </c:pt>
                <c:pt idx="58">
                  <c:v>15</c:v>
                </c:pt>
                <c:pt idx="59">
                  <c:v>15</c:v>
                </c:pt>
                <c:pt idx="60">
                  <c:v>12</c:v>
                </c:pt>
                <c:pt idx="61">
                  <c:v>12</c:v>
                </c:pt>
                <c:pt idx="62">
                  <c:v>8</c:v>
                </c:pt>
                <c:pt idx="63">
                  <c:v>16</c:v>
                </c:pt>
                <c:pt idx="64">
                  <c:v>13</c:v>
                </c:pt>
                <c:pt idx="65">
                  <c:v>15</c:v>
                </c:pt>
                <c:pt idx="66">
                  <c:v>12</c:v>
                </c:pt>
                <c:pt idx="67">
                  <c:v>19</c:v>
                </c:pt>
                <c:pt idx="68">
                  <c:v>12</c:v>
                </c:pt>
                <c:pt idx="69">
                  <c:v>7</c:v>
                </c:pt>
                <c:pt idx="70">
                  <c:v>6</c:v>
                </c:pt>
                <c:pt idx="71">
                  <c:v>18</c:v>
                </c:pt>
                <c:pt idx="72">
                  <c:v>11</c:v>
                </c:pt>
                <c:pt idx="73">
                  <c:v>15</c:v>
                </c:pt>
                <c:pt idx="74">
                  <c:v>13</c:v>
                </c:pt>
                <c:pt idx="75">
                  <c:v>5</c:v>
                </c:pt>
                <c:pt idx="76">
                  <c:v>12</c:v>
                </c:pt>
                <c:pt idx="77">
                  <c:v>12</c:v>
                </c:pt>
                <c:pt idx="78">
                  <c:v>16</c:v>
                </c:pt>
                <c:pt idx="79">
                  <c:v>13</c:v>
                </c:pt>
                <c:pt idx="80">
                  <c:v>15</c:v>
                </c:pt>
                <c:pt idx="81">
                  <c:v>8</c:v>
                </c:pt>
                <c:pt idx="82">
                  <c:v>10</c:v>
                </c:pt>
                <c:pt idx="8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43-454E-B94A-ECB5F85B8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034831"/>
        <c:axId val="1821035311"/>
      </c:lineChart>
      <c:catAx>
        <c:axId val="182103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1035311"/>
        <c:crosses val="autoZero"/>
        <c:auto val="1"/>
        <c:lblAlgn val="ctr"/>
        <c:lblOffset val="100"/>
        <c:noMultiLvlLbl val="0"/>
      </c:catAx>
      <c:valAx>
        <c:axId val="182103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103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723900</xdr:colOff>
      <xdr:row>3</xdr:row>
      <xdr:rowOff>166687</xdr:rowOff>
    </xdr:from>
    <xdr:to>
      <xdr:col>20</xdr:col>
      <xdr:colOff>285750</xdr:colOff>
      <xdr:row>21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72AE81-90AD-462F-DEDC-449B28B25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a torres" refreshedDate="46169.696220949074" createdVersion="8" refreshedVersion="8" minRefreshableVersion="3" recordCount="1000" xr:uid="{03729ED1-483F-40B3-A8EC-742ED12A488C}">
  <cacheSource type="worksheet">
    <worksheetSource name="retail_sales_dataset"/>
  </cacheSource>
  <cacheFields count="13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Age_Group" numFmtId="0">
      <sharedItems/>
    </cacheField>
    <cacheField name="Month" numFmtId="0">
      <sharedItems count="84">
        <s v="viernes-11"/>
        <s v="lunes-02"/>
        <s v="viernes-01"/>
        <s v="domingo-05"/>
        <s v="sábado-05"/>
        <s v="martes-04"/>
        <s v="lunes-03"/>
        <s v="miércoles-02"/>
        <s v="miércoles-12"/>
        <s v="sábado-10"/>
        <s v="martes-02"/>
        <s v="lunes-10"/>
        <s v="sábado-08"/>
        <s v="martes-01"/>
        <s v="lunes-01"/>
        <s v="viernes-02"/>
        <s v="sábado-04"/>
        <s v="domingo-04"/>
        <s v="sábado-09"/>
        <s v="domingo-11"/>
        <s v="sábado-01"/>
        <s v="domingo-10"/>
        <s v="miércoles-04"/>
        <s v="miércoles-11"/>
        <s v="martes-12"/>
        <s v="jueves-08"/>
        <s v="viernes-08"/>
        <s v="martes-05"/>
        <s v="miércoles-01"/>
        <s v="jueves-03"/>
        <s v="domingo-12"/>
        <s v="sábado-06"/>
        <s v="martes-03"/>
        <s v="viernes-04"/>
        <s v="jueves-06"/>
        <s v="viernes-07"/>
        <s v="domingo-02"/>
        <s v="lunes-07"/>
        <s v="lunes-06"/>
        <s v="lunes-11"/>
        <s v="domingo-03"/>
        <s v="jueves-07"/>
        <s v="martes-10"/>
        <s v="miércoles-05"/>
        <s v="sábado-11"/>
        <s v="miércoles-07"/>
        <s v="jueves-04"/>
        <s v="lunes-05"/>
        <s v="lunes-08"/>
        <s v="sábado-03"/>
        <s v="domingo-07"/>
        <s v="sábado-07"/>
        <s v="sábado-12"/>
        <s v="martes-11"/>
        <s v="miércoles-03"/>
        <s v="viernes-05"/>
        <s v="viernes-10"/>
        <s v="viernes-06"/>
        <s v="domingo-01"/>
        <s v="domingo-06"/>
        <s v="martes-07"/>
        <s v="jueves-05"/>
        <s v="miércoles-10"/>
        <s v="miércoles-09"/>
        <s v="miércoles-08"/>
        <s v="martes-08"/>
        <s v="jueves-10"/>
        <s v="lunes-09"/>
        <s v="domingo-09"/>
        <s v="jueves-02"/>
        <s v="viernes-12"/>
        <s v="jueves-11"/>
        <s v="jueves-09"/>
        <s v="viernes-03"/>
        <s v="viernes-09"/>
        <s v="miércoles-06"/>
        <s v="lunes-12"/>
        <s v="domingo-08"/>
        <s v="sábado-02"/>
        <s v="jueves-01"/>
        <s v="martes-06"/>
        <s v="jueves-12"/>
        <s v="lunes-04"/>
        <s v="martes-09"/>
      </sharedItems>
    </cacheField>
    <cacheField name="Year" numFmtId="0">
      <sharedItems containsSemiMixedTypes="0" containsString="0" containsNumber="1" containsInteger="1" minValue="2023" maxValue="2024"/>
    </cacheField>
    <cacheField name="Quart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x v="0"/>
    <x v="0"/>
    <x v="0"/>
    <x v="0"/>
    <n v="3"/>
    <n v="50"/>
    <n v="150"/>
    <s v="60+"/>
    <x v="0"/>
    <n v="2023"/>
    <s v="T4-2023"/>
  </r>
  <r>
    <n v="2"/>
    <d v="2023-02-27T00:00:00"/>
    <x v="1"/>
    <x v="1"/>
    <x v="1"/>
    <x v="1"/>
    <n v="2"/>
    <n v="500"/>
    <n v="1000"/>
    <s v="60+"/>
    <x v="1"/>
    <n v="2023"/>
    <s v="T1-2023"/>
  </r>
  <r>
    <n v="3"/>
    <d v="2023-01-13T00:00:00"/>
    <x v="2"/>
    <x v="0"/>
    <x v="2"/>
    <x v="2"/>
    <n v="1"/>
    <n v="30"/>
    <n v="30"/>
    <s v="60+"/>
    <x v="2"/>
    <n v="2023"/>
    <s v="T1-2023"/>
  </r>
  <r>
    <n v="4"/>
    <d v="2023-05-21T00:00:00"/>
    <x v="3"/>
    <x v="0"/>
    <x v="3"/>
    <x v="1"/>
    <n v="1"/>
    <n v="500"/>
    <n v="500"/>
    <s v="60+"/>
    <x v="3"/>
    <n v="2023"/>
    <s v="T2-2023"/>
  </r>
  <r>
    <n v="5"/>
    <d v="2023-05-06T00:00:00"/>
    <x v="4"/>
    <x v="0"/>
    <x v="4"/>
    <x v="0"/>
    <n v="2"/>
    <n v="50"/>
    <n v="100"/>
    <s v="60+"/>
    <x v="4"/>
    <n v="2023"/>
    <s v="T2-2023"/>
  </r>
  <r>
    <n v="6"/>
    <d v="2023-04-25T00:00:00"/>
    <x v="5"/>
    <x v="1"/>
    <x v="5"/>
    <x v="0"/>
    <n v="1"/>
    <n v="30"/>
    <n v="30"/>
    <s v="60+"/>
    <x v="5"/>
    <n v="2023"/>
    <s v="T2-2023"/>
  </r>
  <r>
    <n v="7"/>
    <d v="2023-03-13T00:00:00"/>
    <x v="6"/>
    <x v="0"/>
    <x v="6"/>
    <x v="1"/>
    <n v="2"/>
    <n v="25"/>
    <n v="50"/>
    <s v="60+"/>
    <x v="6"/>
    <n v="2023"/>
    <s v="T1-2023"/>
  </r>
  <r>
    <n v="8"/>
    <d v="2023-02-22T00:00:00"/>
    <x v="7"/>
    <x v="0"/>
    <x v="4"/>
    <x v="2"/>
    <n v="4"/>
    <n v="25"/>
    <n v="100"/>
    <s v="60+"/>
    <x v="7"/>
    <n v="2023"/>
    <s v="T1-2023"/>
  </r>
  <r>
    <n v="9"/>
    <d v="2023-12-13T00:00:00"/>
    <x v="8"/>
    <x v="0"/>
    <x v="7"/>
    <x v="2"/>
    <n v="2"/>
    <n v="300"/>
    <n v="600"/>
    <s v="60+"/>
    <x v="8"/>
    <n v="2023"/>
    <s v="T4-2023"/>
  </r>
  <r>
    <n v="10"/>
    <d v="2023-10-07T00:00:00"/>
    <x v="9"/>
    <x v="1"/>
    <x v="8"/>
    <x v="1"/>
    <n v="4"/>
    <n v="50"/>
    <n v="200"/>
    <s v="60+"/>
    <x v="9"/>
    <n v="2023"/>
    <s v="T4-2023"/>
  </r>
  <r>
    <n v="11"/>
    <d v="2023-02-14T00:00:00"/>
    <x v="10"/>
    <x v="0"/>
    <x v="9"/>
    <x v="1"/>
    <n v="2"/>
    <n v="50"/>
    <n v="100"/>
    <s v="60+"/>
    <x v="10"/>
    <n v="2023"/>
    <s v="T1-2023"/>
  </r>
  <r>
    <n v="12"/>
    <d v="2023-10-30T00:00:00"/>
    <x v="11"/>
    <x v="0"/>
    <x v="10"/>
    <x v="0"/>
    <n v="3"/>
    <n v="25"/>
    <n v="75"/>
    <s v="60+"/>
    <x v="11"/>
    <n v="2023"/>
    <s v="T4-2023"/>
  </r>
  <r>
    <n v="13"/>
    <d v="2023-08-05T00:00:00"/>
    <x v="12"/>
    <x v="0"/>
    <x v="11"/>
    <x v="2"/>
    <n v="3"/>
    <n v="500"/>
    <n v="1500"/>
    <s v="60+"/>
    <x v="12"/>
    <n v="2023"/>
    <s v="T3-2023"/>
  </r>
  <r>
    <n v="14"/>
    <d v="2023-01-17T00:00:00"/>
    <x v="13"/>
    <x v="0"/>
    <x v="12"/>
    <x v="1"/>
    <n v="4"/>
    <n v="30"/>
    <n v="120"/>
    <s v="60+"/>
    <x v="13"/>
    <n v="2023"/>
    <s v="T1-2023"/>
  </r>
  <r>
    <n v="15"/>
    <d v="2023-01-16T00:00:00"/>
    <x v="14"/>
    <x v="1"/>
    <x v="13"/>
    <x v="2"/>
    <n v="4"/>
    <n v="500"/>
    <n v="2000"/>
    <s v="60+"/>
    <x v="14"/>
    <n v="2023"/>
    <s v="T1-2023"/>
  </r>
  <r>
    <n v="16"/>
    <d v="2023-02-17T00:00:00"/>
    <x v="15"/>
    <x v="0"/>
    <x v="14"/>
    <x v="1"/>
    <n v="3"/>
    <n v="500"/>
    <n v="1500"/>
    <s v="60+"/>
    <x v="15"/>
    <n v="2023"/>
    <s v="T1-2023"/>
  </r>
  <r>
    <n v="17"/>
    <d v="2023-04-22T00:00:00"/>
    <x v="16"/>
    <x v="1"/>
    <x v="15"/>
    <x v="1"/>
    <n v="4"/>
    <n v="25"/>
    <n v="100"/>
    <s v="60+"/>
    <x v="16"/>
    <n v="2023"/>
    <s v="T2-2023"/>
  </r>
  <r>
    <n v="18"/>
    <d v="2023-04-30T00:00:00"/>
    <x v="17"/>
    <x v="1"/>
    <x v="16"/>
    <x v="2"/>
    <n v="2"/>
    <n v="25"/>
    <n v="50"/>
    <s v="60+"/>
    <x v="17"/>
    <n v="2023"/>
    <s v="T2-2023"/>
  </r>
  <r>
    <n v="19"/>
    <d v="2023-09-16T00:00:00"/>
    <x v="18"/>
    <x v="1"/>
    <x v="17"/>
    <x v="1"/>
    <n v="2"/>
    <n v="25"/>
    <n v="50"/>
    <s v="60+"/>
    <x v="18"/>
    <n v="2023"/>
    <s v="T3-2023"/>
  </r>
  <r>
    <n v="20"/>
    <d v="2023-11-05T00:00:00"/>
    <x v="19"/>
    <x v="0"/>
    <x v="11"/>
    <x v="1"/>
    <n v="3"/>
    <n v="300"/>
    <n v="900"/>
    <s v="60+"/>
    <x v="19"/>
    <n v="2023"/>
    <s v="T4-2023"/>
  </r>
  <r>
    <n v="21"/>
    <d v="2023-01-14T00:00:00"/>
    <x v="20"/>
    <x v="1"/>
    <x v="2"/>
    <x v="0"/>
    <n v="1"/>
    <n v="500"/>
    <n v="500"/>
    <s v="60+"/>
    <x v="20"/>
    <n v="2023"/>
    <s v="T1-2023"/>
  </r>
  <r>
    <n v="22"/>
    <d v="2023-10-15T00:00:00"/>
    <x v="21"/>
    <x v="0"/>
    <x v="18"/>
    <x v="1"/>
    <n v="2"/>
    <n v="50"/>
    <n v="100"/>
    <s v="60+"/>
    <x v="21"/>
    <n v="2023"/>
    <s v="T4-2023"/>
  </r>
  <r>
    <n v="23"/>
    <d v="2023-04-12T00:00:00"/>
    <x v="22"/>
    <x v="1"/>
    <x v="10"/>
    <x v="1"/>
    <n v="4"/>
    <n v="30"/>
    <n v="120"/>
    <s v="60+"/>
    <x v="22"/>
    <n v="2023"/>
    <s v="T2-2023"/>
  </r>
  <r>
    <n v="24"/>
    <d v="2023-11-29T00:00:00"/>
    <x v="23"/>
    <x v="1"/>
    <x v="19"/>
    <x v="1"/>
    <n v="1"/>
    <n v="300"/>
    <n v="300"/>
    <s v="60+"/>
    <x v="23"/>
    <n v="2023"/>
    <s v="T4-2023"/>
  </r>
  <r>
    <n v="25"/>
    <d v="2023-12-26T00:00:00"/>
    <x v="24"/>
    <x v="1"/>
    <x v="12"/>
    <x v="0"/>
    <n v="1"/>
    <n v="50"/>
    <n v="50"/>
    <s v="60+"/>
    <x v="24"/>
    <n v="2023"/>
    <s v="T4-2023"/>
  </r>
  <r>
    <n v="26"/>
    <d v="2023-10-07T00:00:00"/>
    <x v="25"/>
    <x v="1"/>
    <x v="20"/>
    <x v="2"/>
    <n v="2"/>
    <n v="500"/>
    <n v="1000"/>
    <s v="60+"/>
    <x v="9"/>
    <n v="2023"/>
    <s v="T4-2023"/>
  </r>
  <r>
    <n v="27"/>
    <d v="2023-08-03T00:00:00"/>
    <x v="26"/>
    <x v="1"/>
    <x v="21"/>
    <x v="0"/>
    <n v="2"/>
    <n v="25"/>
    <n v="50"/>
    <s v="60+"/>
    <x v="25"/>
    <n v="2023"/>
    <s v="T3-2023"/>
  </r>
  <r>
    <n v="28"/>
    <d v="2023-04-23T00:00:00"/>
    <x v="27"/>
    <x v="1"/>
    <x v="22"/>
    <x v="0"/>
    <n v="1"/>
    <n v="500"/>
    <n v="500"/>
    <s v="60+"/>
    <x v="17"/>
    <n v="2023"/>
    <s v="T2-2023"/>
  </r>
  <r>
    <n v="29"/>
    <d v="2023-08-18T00:00:00"/>
    <x v="28"/>
    <x v="1"/>
    <x v="13"/>
    <x v="2"/>
    <n v="1"/>
    <n v="30"/>
    <n v="30"/>
    <s v="60+"/>
    <x v="26"/>
    <n v="2023"/>
    <s v="T3-2023"/>
  </r>
  <r>
    <n v="30"/>
    <d v="2023-10-29T00:00:00"/>
    <x v="29"/>
    <x v="1"/>
    <x v="23"/>
    <x v="0"/>
    <n v="3"/>
    <n v="300"/>
    <n v="900"/>
    <s v="60+"/>
    <x v="21"/>
    <n v="2023"/>
    <s v="T4-2023"/>
  </r>
  <r>
    <n v="31"/>
    <d v="2023-05-23T00:00:00"/>
    <x v="30"/>
    <x v="0"/>
    <x v="24"/>
    <x v="2"/>
    <n v="4"/>
    <n v="300"/>
    <n v="1200"/>
    <s v="60+"/>
    <x v="27"/>
    <n v="2023"/>
    <s v="T2-2023"/>
  </r>
  <r>
    <n v="32"/>
    <d v="2023-01-04T00:00:00"/>
    <x v="31"/>
    <x v="0"/>
    <x v="4"/>
    <x v="0"/>
    <n v="3"/>
    <n v="30"/>
    <n v="90"/>
    <s v="60+"/>
    <x v="28"/>
    <n v="2023"/>
    <s v="T1-2023"/>
  </r>
  <r>
    <n v="33"/>
    <d v="2023-03-23T00:00:00"/>
    <x v="32"/>
    <x v="1"/>
    <x v="2"/>
    <x v="2"/>
    <n v="2"/>
    <n v="50"/>
    <n v="100"/>
    <s v="60+"/>
    <x v="29"/>
    <n v="2023"/>
    <s v="T1-2023"/>
  </r>
  <r>
    <n v="34"/>
    <d v="2023-12-24T00:00:00"/>
    <x v="33"/>
    <x v="1"/>
    <x v="25"/>
    <x v="1"/>
    <n v="3"/>
    <n v="50"/>
    <n v="150"/>
    <s v="60+"/>
    <x v="30"/>
    <n v="2023"/>
    <s v="T4-2023"/>
  </r>
  <r>
    <n v="35"/>
    <d v="2023-08-05T00:00:00"/>
    <x v="34"/>
    <x v="1"/>
    <x v="26"/>
    <x v="0"/>
    <n v="3"/>
    <n v="300"/>
    <n v="900"/>
    <s v="60+"/>
    <x v="12"/>
    <n v="2023"/>
    <s v="T3-2023"/>
  </r>
  <r>
    <n v="36"/>
    <d v="2023-06-24T00:00:00"/>
    <x v="35"/>
    <x v="0"/>
    <x v="8"/>
    <x v="0"/>
    <n v="3"/>
    <n v="300"/>
    <n v="900"/>
    <s v="60+"/>
    <x v="31"/>
    <n v="2023"/>
    <s v="T2-2023"/>
  </r>
  <r>
    <n v="37"/>
    <d v="2023-05-23T00:00:00"/>
    <x v="36"/>
    <x v="1"/>
    <x v="18"/>
    <x v="0"/>
    <n v="3"/>
    <n v="25"/>
    <n v="75"/>
    <s v="60+"/>
    <x v="27"/>
    <n v="2023"/>
    <s v="T2-2023"/>
  </r>
  <r>
    <n v="38"/>
    <d v="2023-03-21T00:00:00"/>
    <x v="37"/>
    <x v="0"/>
    <x v="21"/>
    <x v="0"/>
    <n v="4"/>
    <n v="50"/>
    <n v="200"/>
    <s v="60+"/>
    <x v="32"/>
    <n v="2023"/>
    <s v="T1-2023"/>
  </r>
  <r>
    <n v="39"/>
    <d v="2023-04-21T00:00:00"/>
    <x v="38"/>
    <x v="0"/>
    <x v="9"/>
    <x v="1"/>
    <n v="4"/>
    <n v="30"/>
    <n v="120"/>
    <s v="60+"/>
    <x v="33"/>
    <n v="2023"/>
    <s v="T2-2023"/>
  </r>
  <r>
    <n v="40"/>
    <d v="2023-06-22T00:00:00"/>
    <x v="39"/>
    <x v="0"/>
    <x v="5"/>
    <x v="0"/>
    <n v="1"/>
    <n v="50"/>
    <n v="50"/>
    <s v="60+"/>
    <x v="34"/>
    <n v="2023"/>
    <s v="T2-2023"/>
  </r>
  <r>
    <n v="41"/>
    <d v="2023-02-22T00:00:00"/>
    <x v="40"/>
    <x v="0"/>
    <x v="0"/>
    <x v="1"/>
    <n v="2"/>
    <n v="25"/>
    <n v="50"/>
    <s v="60+"/>
    <x v="7"/>
    <n v="2023"/>
    <s v="T1-2023"/>
  </r>
  <r>
    <n v="42"/>
    <d v="2023-02-17T00:00:00"/>
    <x v="41"/>
    <x v="0"/>
    <x v="11"/>
    <x v="1"/>
    <n v="3"/>
    <n v="300"/>
    <n v="900"/>
    <s v="60+"/>
    <x v="15"/>
    <n v="2023"/>
    <s v="T1-2023"/>
  </r>
  <r>
    <n v="43"/>
    <d v="2023-07-14T00:00:00"/>
    <x v="42"/>
    <x v="1"/>
    <x v="27"/>
    <x v="1"/>
    <n v="1"/>
    <n v="300"/>
    <n v="300"/>
    <s v="60+"/>
    <x v="35"/>
    <n v="2023"/>
    <s v="T3-2023"/>
  </r>
  <r>
    <n v="44"/>
    <d v="2023-02-19T00:00:00"/>
    <x v="43"/>
    <x v="1"/>
    <x v="11"/>
    <x v="1"/>
    <n v="1"/>
    <n v="25"/>
    <n v="25"/>
    <s v="60+"/>
    <x v="36"/>
    <n v="2023"/>
    <s v="T1-2023"/>
  </r>
  <r>
    <n v="45"/>
    <d v="2023-07-03T00:00:00"/>
    <x v="44"/>
    <x v="1"/>
    <x v="28"/>
    <x v="2"/>
    <n v="1"/>
    <n v="30"/>
    <n v="30"/>
    <s v="60+"/>
    <x v="37"/>
    <n v="2023"/>
    <s v="T3-2023"/>
  </r>
  <r>
    <n v="46"/>
    <d v="2023-06-26T00:00:00"/>
    <x v="45"/>
    <x v="1"/>
    <x v="29"/>
    <x v="2"/>
    <n v="4"/>
    <n v="300"/>
    <n v="1200"/>
    <s v="60+"/>
    <x v="38"/>
    <n v="2023"/>
    <s v="T2-2023"/>
  </r>
  <r>
    <n v="47"/>
    <d v="2023-11-06T00:00:00"/>
    <x v="46"/>
    <x v="1"/>
    <x v="30"/>
    <x v="0"/>
    <n v="3"/>
    <n v="500"/>
    <n v="1500"/>
    <s v="60+"/>
    <x v="39"/>
    <n v="2023"/>
    <s v="T4-2023"/>
  </r>
  <r>
    <n v="48"/>
    <d v="2023-05-16T00:00:00"/>
    <x v="47"/>
    <x v="0"/>
    <x v="31"/>
    <x v="2"/>
    <n v="3"/>
    <n v="300"/>
    <n v="900"/>
    <s v="60+"/>
    <x v="27"/>
    <n v="2023"/>
    <s v="T2-2023"/>
  </r>
  <r>
    <n v="49"/>
    <d v="2023-01-23T00:00:00"/>
    <x v="48"/>
    <x v="1"/>
    <x v="31"/>
    <x v="2"/>
    <n v="2"/>
    <n v="500"/>
    <n v="1000"/>
    <s v="60+"/>
    <x v="14"/>
    <n v="2023"/>
    <s v="T1-2023"/>
  </r>
  <r>
    <n v="50"/>
    <d v="2023-08-24T00:00:00"/>
    <x v="49"/>
    <x v="1"/>
    <x v="15"/>
    <x v="0"/>
    <n v="3"/>
    <n v="25"/>
    <n v="75"/>
    <s v="60+"/>
    <x v="25"/>
    <n v="2023"/>
    <s v="T3-2023"/>
  </r>
  <r>
    <n v="51"/>
    <d v="2023-10-02T00:00:00"/>
    <x v="50"/>
    <x v="0"/>
    <x v="15"/>
    <x v="0"/>
    <n v="3"/>
    <n v="25"/>
    <n v="75"/>
    <s v="60+"/>
    <x v="11"/>
    <n v="2023"/>
    <s v="T4-2023"/>
  </r>
  <r>
    <n v="52"/>
    <d v="2023-03-05T00:00:00"/>
    <x v="51"/>
    <x v="1"/>
    <x v="32"/>
    <x v="0"/>
    <n v="1"/>
    <n v="300"/>
    <n v="300"/>
    <s v="60+"/>
    <x v="40"/>
    <n v="2023"/>
    <s v="T1-2023"/>
  </r>
  <r>
    <n v="53"/>
    <d v="2023-07-13T00:00:00"/>
    <x v="52"/>
    <x v="0"/>
    <x v="0"/>
    <x v="2"/>
    <n v="2"/>
    <n v="50"/>
    <n v="100"/>
    <s v="60+"/>
    <x v="41"/>
    <n v="2023"/>
    <s v="T3-2023"/>
  </r>
  <r>
    <n v="54"/>
    <d v="2023-02-10T00:00:00"/>
    <x v="53"/>
    <x v="1"/>
    <x v="21"/>
    <x v="2"/>
    <n v="3"/>
    <n v="500"/>
    <n v="1500"/>
    <s v="60+"/>
    <x v="15"/>
    <n v="2023"/>
    <s v="T1-2023"/>
  </r>
  <r>
    <n v="55"/>
    <d v="2023-10-10T00:00:00"/>
    <x v="54"/>
    <x v="0"/>
    <x v="33"/>
    <x v="0"/>
    <n v="4"/>
    <n v="30"/>
    <n v="120"/>
    <s v="60+"/>
    <x v="42"/>
    <n v="2023"/>
    <s v="T4-2023"/>
  </r>
  <r>
    <n v="56"/>
    <d v="2023-05-31T00:00:00"/>
    <x v="55"/>
    <x v="1"/>
    <x v="1"/>
    <x v="1"/>
    <n v="3"/>
    <n v="300"/>
    <n v="900"/>
    <s v="60+"/>
    <x v="43"/>
    <n v="2023"/>
    <s v="T2-2023"/>
  </r>
  <r>
    <n v="57"/>
    <d v="2023-11-18T00:00:00"/>
    <x v="56"/>
    <x v="1"/>
    <x v="7"/>
    <x v="0"/>
    <n v="1"/>
    <n v="30"/>
    <n v="30"/>
    <s v="60+"/>
    <x v="44"/>
    <n v="2023"/>
    <s v="T4-2023"/>
  </r>
  <r>
    <n v="58"/>
    <d v="2023-11-13T00:00:00"/>
    <x v="57"/>
    <x v="0"/>
    <x v="18"/>
    <x v="1"/>
    <n v="4"/>
    <n v="300"/>
    <n v="1200"/>
    <s v="60+"/>
    <x v="39"/>
    <n v="2023"/>
    <s v="T4-2023"/>
  </r>
  <r>
    <n v="59"/>
    <d v="2023-07-05T00:00:00"/>
    <x v="58"/>
    <x v="0"/>
    <x v="17"/>
    <x v="1"/>
    <n v="1"/>
    <n v="50"/>
    <n v="50"/>
    <s v="60+"/>
    <x v="45"/>
    <n v="2023"/>
    <s v="T3-2023"/>
  </r>
  <r>
    <n v="60"/>
    <d v="2023-10-23T00:00:00"/>
    <x v="59"/>
    <x v="0"/>
    <x v="4"/>
    <x v="0"/>
    <n v="3"/>
    <n v="50"/>
    <n v="150"/>
    <s v="60+"/>
    <x v="11"/>
    <n v="2023"/>
    <s v="T4-2023"/>
  </r>
  <r>
    <n v="61"/>
    <d v="2023-04-09T00:00:00"/>
    <x v="60"/>
    <x v="0"/>
    <x v="34"/>
    <x v="0"/>
    <n v="4"/>
    <n v="50"/>
    <n v="200"/>
    <s v="60+"/>
    <x v="17"/>
    <n v="2023"/>
    <s v="T2-2023"/>
  </r>
  <r>
    <n v="62"/>
    <d v="2023-12-27T00:00:00"/>
    <x v="61"/>
    <x v="0"/>
    <x v="18"/>
    <x v="0"/>
    <n v="2"/>
    <n v="50"/>
    <n v="100"/>
    <s v="60+"/>
    <x v="8"/>
    <n v="2023"/>
    <s v="T4-2023"/>
  </r>
  <r>
    <n v="63"/>
    <d v="2023-02-05T00:00:00"/>
    <x v="62"/>
    <x v="0"/>
    <x v="35"/>
    <x v="2"/>
    <n v="2"/>
    <n v="25"/>
    <n v="50"/>
    <s v="60+"/>
    <x v="36"/>
    <n v="2023"/>
    <s v="T1-2023"/>
  </r>
  <r>
    <n v="64"/>
    <d v="2023-01-24T00:00:00"/>
    <x v="63"/>
    <x v="0"/>
    <x v="19"/>
    <x v="1"/>
    <n v="4"/>
    <n v="25"/>
    <n v="100"/>
    <s v="60+"/>
    <x v="13"/>
    <n v="2023"/>
    <s v="T1-2023"/>
  </r>
  <r>
    <n v="65"/>
    <d v="2023-12-05T00:00:00"/>
    <x v="64"/>
    <x v="0"/>
    <x v="25"/>
    <x v="2"/>
    <n v="4"/>
    <n v="500"/>
    <n v="2000"/>
    <s v="60+"/>
    <x v="24"/>
    <n v="2023"/>
    <s v="T4-2023"/>
  </r>
  <r>
    <n v="66"/>
    <d v="2023-04-27T00:00:00"/>
    <x v="65"/>
    <x v="1"/>
    <x v="5"/>
    <x v="2"/>
    <n v="1"/>
    <n v="30"/>
    <n v="30"/>
    <s v="60+"/>
    <x v="46"/>
    <n v="2023"/>
    <s v="T2-2023"/>
  </r>
  <r>
    <n v="67"/>
    <d v="2023-05-29T00:00:00"/>
    <x v="66"/>
    <x v="1"/>
    <x v="27"/>
    <x v="0"/>
    <n v="4"/>
    <n v="300"/>
    <n v="1200"/>
    <s v="60+"/>
    <x v="47"/>
    <n v="2023"/>
    <s v="T2-2023"/>
  </r>
  <r>
    <n v="68"/>
    <d v="2023-02-10T00:00:00"/>
    <x v="67"/>
    <x v="0"/>
    <x v="36"/>
    <x v="2"/>
    <n v="1"/>
    <n v="300"/>
    <n v="300"/>
    <s v="60+"/>
    <x v="15"/>
    <n v="2023"/>
    <s v="T1-2023"/>
  </r>
  <r>
    <n v="69"/>
    <d v="2023-04-30T00:00:00"/>
    <x v="68"/>
    <x v="1"/>
    <x v="37"/>
    <x v="0"/>
    <n v="3"/>
    <n v="25"/>
    <n v="75"/>
    <s v="60+"/>
    <x v="17"/>
    <n v="2023"/>
    <s v="T2-2023"/>
  </r>
  <r>
    <n v="70"/>
    <d v="2023-02-21T00:00:00"/>
    <x v="69"/>
    <x v="1"/>
    <x v="22"/>
    <x v="1"/>
    <n v="1"/>
    <n v="300"/>
    <n v="300"/>
    <s v="60+"/>
    <x v="10"/>
    <n v="2023"/>
    <s v="T1-2023"/>
  </r>
  <r>
    <n v="71"/>
    <d v="2023-07-14T00:00:00"/>
    <x v="70"/>
    <x v="1"/>
    <x v="25"/>
    <x v="0"/>
    <n v="4"/>
    <n v="25"/>
    <n v="100"/>
    <s v="60+"/>
    <x v="35"/>
    <n v="2023"/>
    <s v="T3-2023"/>
  </r>
  <r>
    <n v="72"/>
    <d v="2023-05-23T00:00:00"/>
    <x v="71"/>
    <x v="1"/>
    <x v="29"/>
    <x v="2"/>
    <n v="4"/>
    <n v="500"/>
    <n v="2000"/>
    <s v="60+"/>
    <x v="27"/>
    <n v="2023"/>
    <s v="T2-2023"/>
  </r>
  <r>
    <n v="73"/>
    <d v="2023-08-21T00:00:00"/>
    <x v="72"/>
    <x v="0"/>
    <x v="38"/>
    <x v="2"/>
    <n v="3"/>
    <n v="30"/>
    <n v="90"/>
    <s v="60+"/>
    <x v="48"/>
    <n v="2023"/>
    <s v="T3-2023"/>
  </r>
  <r>
    <n v="74"/>
    <d v="2023-11-22T00:00:00"/>
    <x v="73"/>
    <x v="1"/>
    <x v="18"/>
    <x v="0"/>
    <n v="4"/>
    <n v="500"/>
    <n v="2000"/>
    <s v="60+"/>
    <x v="23"/>
    <n v="2023"/>
    <s v="T4-2023"/>
  </r>
  <r>
    <n v="75"/>
    <d v="2023-07-06T00:00:00"/>
    <x v="74"/>
    <x v="0"/>
    <x v="39"/>
    <x v="0"/>
    <n v="4"/>
    <n v="50"/>
    <n v="200"/>
    <s v="60+"/>
    <x v="41"/>
    <n v="2023"/>
    <s v="T3-2023"/>
  </r>
  <r>
    <n v="76"/>
    <d v="2023-03-25T00:00:00"/>
    <x v="75"/>
    <x v="1"/>
    <x v="11"/>
    <x v="2"/>
    <n v="2"/>
    <n v="50"/>
    <n v="100"/>
    <s v="60+"/>
    <x v="49"/>
    <n v="2023"/>
    <s v="T1-2023"/>
  </r>
  <r>
    <n v="77"/>
    <d v="2023-07-09T00:00:00"/>
    <x v="76"/>
    <x v="1"/>
    <x v="16"/>
    <x v="1"/>
    <n v="2"/>
    <n v="50"/>
    <n v="100"/>
    <s v="60+"/>
    <x v="50"/>
    <n v="2023"/>
    <s v="T3-2023"/>
  </r>
  <r>
    <n v="78"/>
    <d v="2023-07-01T00:00:00"/>
    <x v="77"/>
    <x v="1"/>
    <x v="16"/>
    <x v="1"/>
    <n v="3"/>
    <n v="500"/>
    <n v="1500"/>
    <s v="60+"/>
    <x v="51"/>
    <n v="2023"/>
    <s v="T3-2023"/>
  </r>
  <r>
    <n v="79"/>
    <d v="2023-04-18T00:00:00"/>
    <x v="78"/>
    <x v="0"/>
    <x v="0"/>
    <x v="0"/>
    <n v="1"/>
    <n v="300"/>
    <n v="300"/>
    <s v="60+"/>
    <x v="5"/>
    <n v="2023"/>
    <s v="T2-2023"/>
  </r>
  <r>
    <n v="80"/>
    <d v="2023-12-10T00:00:00"/>
    <x v="79"/>
    <x v="1"/>
    <x v="12"/>
    <x v="1"/>
    <n v="2"/>
    <n v="30"/>
    <n v="60"/>
    <s v="60+"/>
    <x v="30"/>
    <n v="2023"/>
    <s v="T4-2023"/>
  </r>
  <r>
    <n v="81"/>
    <d v="2023-05-17T00:00:00"/>
    <x v="80"/>
    <x v="0"/>
    <x v="30"/>
    <x v="2"/>
    <n v="1"/>
    <n v="50"/>
    <n v="50"/>
    <s v="60+"/>
    <x v="43"/>
    <n v="2023"/>
    <s v="T2-2023"/>
  </r>
  <r>
    <n v="82"/>
    <d v="2023-12-26T00:00:00"/>
    <x v="81"/>
    <x v="1"/>
    <x v="40"/>
    <x v="0"/>
    <n v="4"/>
    <n v="50"/>
    <n v="200"/>
    <s v="60+"/>
    <x v="24"/>
    <n v="2023"/>
    <s v="T4-2023"/>
  </r>
  <r>
    <n v="83"/>
    <d v="2023-12-16T00:00:00"/>
    <x v="82"/>
    <x v="0"/>
    <x v="31"/>
    <x v="2"/>
    <n v="2"/>
    <n v="50"/>
    <n v="100"/>
    <s v="60+"/>
    <x v="52"/>
    <n v="2023"/>
    <s v="T4-2023"/>
  </r>
  <r>
    <n v="84"/>
    <d v="2023-11-28T00:00:00"/>
    <x v="83"/>
    <x v="1"/>
    <x v="21"/>
    <x v="2"/>
    <n v="3"/>
    <n v="30"/>
    <n v="90"/>
    <s v="60+"/>
    <x v="53"/>
    <n v="2023"/>
    <s v="T4-2023"/>
  </r>
  <r>
    <n v="85"/>
    <d v="2023-02-06T00:00:00"/>
    <x v="84"/>
    <x v="0"/>
    <x v="33"/>
    <x v="1"/>
    <n v="3"/>
    <n v="50"/>
    <n v="150"/>
    <s v="60+"/>
    <x v="1"/>
    <n v="2023"/>
    <s v="T1-2023"/>
  </r>
  <r>
    <n v="86"/>
    <d v="2023-11-08T00:00:00"/>
    <x v="85"/>
    <x v="0"/>
    <x v="14"/>
    <x v="0"/>
    <n v="3"/>
    <n v="30"/>
    <n v="90"/>
    <s v="60+"/>
    <x v="23"/>
    <n v="2023"/>
    <s v="T4-2023"/>
  </r>
  <r>
    <n v="87"/>
    <d v="2023-11-22T00:00:00"/>
    <x v="86"/>
    <x v="1"/>
    <x v="20"/>
    <x v="0"/>
    <n v="2"/>
    <n v="50"/>
    <n v="100"/>
    <s v="60+"/>
    <x v="23"/>
    <n v="2023"/>
    <s v="T4-2023"/>
  </r>
  <r>
    <n v="88"/>
    <d v="2023-03-29T00:00:00"/>
    <x v="87"/>
    <x v="0"/>
    <x v="37"/>
    <x v="1"/>
    <n v="1"/>
    <n v="500"/>
    <n v="500"/>
    <s v="60+"/>
    <x v="54"/>
    <n v="2023"/>
    <s v="T1-2023"/>
  </r>
  <r>
    <n v="89"/>
    <d v="2023-10-01T00:00:00"/>
    <x v="88"/>
    <x v="1"/>
    <x v="28"/>
    <x v="2"/>
    <n v="4"/>
    <n v="500"/>
    <n v="2000"/>
    <s v="60+"/>
    <x v="21"/>
    <n v="2023"/>
    <s v="T4-2023"/>
  </r>
  <r>
    <n v="90"/>
    <d v="2023-05-06T00:00:00"/>
    <x v="89"/>
    <x v="1"/>
    <x v="25"/>
    <x v="2"/>
    <n v="1"/>
    <n v="30"/>
    <n v="30"/>
    <s v="60+"/>
    <x v="4"/>
    <n v="2023"/>
    <s v="T2-2023"/>
  </r>
  <r>
    <n v="91"/>
    <d v="2023-03-25T00:00:00"/>
    <x v="90"/>
    <x v="1"/>
    <x v="28"/>
    <x v="2"/>
    <n v="1"/>
    <n v="500"/>
    <n v="500"/>
    <s v="60+"/>
    <x v="49"/>
    <n v="2023"/>
    <s v="T1-2023"/>
  </r>
  <r>
    <n v="92"/>
    <d v="2023-08-25T00:00:00"/>
    <x v="91"/>
    <x v="1"/>
    <x v="25"/>
    <x v="2"/>
    <n v="4"/>
    <n v="30"/>
    <n v="120"/>
    <s v="60+"/>
    <x v="26"/>
    <n v="2023"/>
    <s v="T3-2023"/>
  </r>
  <r>
    <n v="93"/>
    <d v="2023-07-14T00:00:00"/>
    <x v="92"/>
    <x v="1"/>
    <x v="10"/>
    <x v="0"/>
    <n v="4"/>
    <n v="500"/>
    <n v="2000"/>
    <s v="60+"/>
    <x v="35"/>
    <n v="2023"/>
    <s v="T3-2023"/>
  </r>
  <r>
    <n v="94"/>
    <d v="2023-05-19T00:00:00"/>
    <x v="93"/>
    <x v="1"/>
    <x v="16"/>
    <x v="0"/>
    <n v="2"/>
    <n v="500"/>
    <n v="1000"/>
    <s v="60+"/>
    <x v="55"/>
    <n v="2023"/>
    <s v="T2-2023"/>
  </r>
  <r>
    <n v="95"/>
    <d v="2023-11-24T00:00:00"/>
    <x v="94"/>
    <x v="1"/>
    <x v="40"/>
    <x v="1"/>
    <n v="2"/>
    <n v="30"/>
    <n v="60"/>
    <s v="60+"/>
    <x v="0"/>
    <n v="2023"/>
    <s v="T4-2023"/>
  </r>
  <r>
    <n v="96"/>
    <d v="2023-12-19T00:00:00"/>
    <x v="95"/>
    <x v="1"/>
    <x v="24"/>
    <x v="1"/>
    <n v="2"/>
    <n v="300"/>
    <n v="600"/>
    <s v="60+"/>
    <x v="24"/>
    <n v="2023"/>
    <s v="T4-2023"/>
  </r>
  <r>
    <n v="97"/>
    <d v="2023-10-13T00:00:00"/>
    <x v="96"/>
    <x v="1"/>
    <x v="25"/>
    <x v="0"/>
    <n v="2"/>
    <n v="500"/>
    <n v="1000"/>
    <s v="60+"/>
    <x v="56"/>
    <n v="2023"/>
    <s v="T4-2023"/>
  </r>
  <r>
    <n v="98"/>
    <d v="2023-04-23T00:00:00"/>
    <x v="97"/>
    <x v="1"/>
    <x v="28"/>
    <x v="0"/>
    <n v="2"/>
    <n v="50"/>
    <n v="100"/>
    <s v="60+"/>
    <x v="17"/>
    <n v="2023"/>
    <s v="T2-2023"/>
  </r>
  <r>
    <n v="99"/>
    <d v="2023-12-17T00:00:00"/>
    <x v="98"/>
    <x v="1"/>
    <x v="2"/>
    <x v="2"/>
    <n v="4"/>
    <n v="300"/>
    <n v="1200"/>
    <s v="60+"/>
    <x v="30"/>
    <n v="2023"/>
    <s v="T4-2023"/>
  </r>
  <r>
    <n v="100"/>
    <d v="2023-06-16T00:00:00"/>
    <x v="99"/>
    <x v="0"/>
    <x v="41"/>
    <x v="2"/>
    <n v="1"/>
    <n v="30"/>
    <n v="30"/>
    <s v="60+"/>
    <x v="57"/>
    <n v="2023"/>
    <s v="T2-2023"/>
  </r>
  <r>
    <n v="101"/>
    <d v="2023-01-29T00:00:00"/>
    <x v="100"/>
    <x v="0"/>
    <x v="40"/>
    <x v="1"/>
    <n v="2"/>
    <n v="300"/>
    <n v="600"/>
    <s v="60+"/>
    <x v="58"/>
    <n v="2023"/>
    <s v="T1-2023"/>
  </r>
  <r>
    <n v="102"/>
    <d v="2023-04-28T00:00:00"/>
    <x v="101"/>
    <x v="1"/>
    <x v="16"/>
    <x v="0"/>
    <n v="2"/>
    <n v="25"/>
    <n v="50"/>
    <s v="60+"/>
    <x v="33"/>
    <n v="2023"/>
    <s v="T2-2023"/>
  </r>
  <r>
    <n v="103"/>
    <d v="2023-01-17T00:00:00"/>
    <x v="102"/>
    <x v="1"/>
    <x v="42"/>
    <x v="1"/>
    <n v="1"/>
    <n v="25"/>
    <n v="25"/>
    <s v="60+"/>
    <x v="13"/>
    <n v="2023"/>
    <s v="T1-2023"/>
  </r>
  <r>
    <n v="104"/>
    <d v="2023-06-11T00:00:00"/>
    <x v="103"/>
    <x v="1"/>
    <x v="0"/>
    <x v="0"/>
    <n v="2"/>
    <n v="500"/>
    <n v="1000"/>
    <s v="60+"/>
    <x v="59"/>
    <n v="2023"/>
    <s v="T2-2023"/>
  </r>
  <r>
    <n v="105"/>
    <d v="2023-07-25T00:00:00"/>
    <x v="104"/>
    <x v="1"/>
    <x v="11"/>
    <x v="2"/>
    <n v="1"/>
    <n v="500"/>
    <n v="500"/>
    <s v="60+"/>
    <x v="60"/>
    <n v="2023"/>
    <s v="T3-2023"/>
  </r>
  <r>
    <n v="106"/>
    <d v="2023-05-18T00:00:00"/>
    <x v="105"/>
    <x v="1"/>
    <x v="6"/>
    <x v="1"/>
    <n v="1"/>
    <n v="50"/>
    <n v="50"/>
    <s v="60+"/>
    <x v="61"/>
    <n v="2023"/>
    <s v="T2-2023"/>
  </r>
  <r>
    <n v="107"/>
    <d v="2023-02-03T00:00:00"/>
    <x v="106"/>
    <x v="1"/>
    <x v="34"/>
    <x v="1"/>
    <n v="4"/>
    <n v="300"/>
    <n v="1200"/>
    <s v="60+"/>
    <x v="15"/>
    <n v="2023"/>
    <s v="T1-2023"/>
  </r>
  <r>
    <n v="108"/>
    <d v="2023-04-19T00:00:00"/>
    <x v="107"/>
    <x v="1"/>
    <x v="15"/>
    <x v="0"/>
    <n v="3"/>
    <n v="25"/>
    <n v="75"/>
    <s v="60+"/>
    <x v="22"/>
    <n v="2023"/>
    <s v="T2-2023"/>
  </r>
  <r>
    <n v="109"/>
    <d v="2023-10-18T00:00:00"/>
    <x v="108"/>
    <x v="1"/>
    <x v="0"/>
    <x v="2"/>
    <n v="4"/>
    <n v="500"/>
    <n v="2000"/>
    <s v="60+"/>
    <x v="62"/>
    <n v="2023"/>
    <s v="T4-2023"/>
  </r>
  <r>
    <n v="110"/>
    <d v="2023-06-11T00:00:00"/>
    <x v="109"/>
    <x v="0"/>
    <x v="15"/>
    <x v="1"/>
    <n v="3"/>
    <n v="300"/>
    <n v="900"/>
    <s v="60+"/>
    <x v="59"/>
    <n v="2023"/>
    <s v="T2-2023"/>
  </r>
  <r>
    <n v="111"/>
    <d v="2023-04-19T00:00:00"/>
    <x v="110"/>
    <x v="1"/>
    <x v="0"/>
    <x v="2"/>
    <n v="3"/>
    <n v="500"/>
    <n v="1500"/>
    <s v="60+"/>
    <x v="22"/>
    <n v="2023"/>
    <s v="T2-2023"/>
  </r>
  <r>
    <n v="112"/>
    <d v="2023-12-02T00:00:00"/>
    <x v="111"/>
    <x v="0"/>
    <x v="3"/>
    <x v="1"/>
    <n v="3"/>
    <n v="500"/>
    <n v="1500"/>
    <s v="60+"/>
    <x v="52"/>
    <n v="2023"/>
    <s v="T4-2023"/>
  </r>
  <r>
    <n v="113"/>
    <d v="2023-09-13T00:00:00"/>
    <x v="112"/>
    <x v="1"/>
    <x v="41"/>
    <x v="2"/>
    <n v="2"/>
    <n v="25"/>
    <n v="50"/>
    <s v="60+"/>
    <x v="63"/>
    <n v="2023"/>
    <s v="T3-2023"/>
  </r>
  <r>
    <n v="114"/>
    <d v="2023-07-22T00:00:00"/>
    <x v="113"/>
    <x v="1"/>
    <x v="11"/>
    <x v="0"/>
    <n v="4"/>
    <n v="25"/>
    <n v="100"/>
    <s v="60+"/>
    <x v="51"/>
    <n v="2023"/>
    <s v="T3-2023"/>
  </r>
  <r>
    <n v="115"/>
    <d v="2023-11-26T00:00:00"/>
    <x v="114"/>
    <x v="0"/>
    <x v="25"/>
    <x v="1"/>
    <n v="3"/>
    <n v="500"/>
    <n v="1500"/>
    <s v="60+"/>
    <x v="19"/>
    <n v="2023"/>
    <s v="T4-2023"/>
  </r>
  <r>
    <n v="116"/>
    <d v="2023-08-23T00:00:00"/>
    <x v="115"/>
    <x v="1"/>
    <x v="9"/>
    <x v="1"/>
    <n v="1"/>
    <n v="30"/>
    <n v="30"/>
    <s v="60+"/>
    <x v="64"/>
    <n v="2023"/>
    <s v="T3-2023"/>
  </r>
  <r>
    <n v="117"/>
    <d v="2023-03-15T00:00:00"/>
    <x v="116"/>
    <x v="0"/>
    <x v="14"/>
    <x v="2"/>
    <n v="2"/>
    <n v="500"/>
    <n v="1000"/>
    <s v="60+"/>
    <x v="54"/>
    <n v="2023"/>
    <s v="T1-2023"/>
  </r>
  <r>
    <n v="118"/>
    <d v="2023-05-16T00:00:00"/>
    <x v="117"/>
    <x v="1"/>
    <x v="4"/>
    <x v="2"/>
    <n v="4"/>
    <n v="500"/>
    <n v="2000"/>
    <s v="60+"/>
    <x v="27"/>
    <n v="2023"/>
    <s v="T2-2023"/>
  </r>
  <r>
    <n v="119"/>
    <d v="2023-03-13T00:00:00"/>
    <x v="118"/>
    <x v="1"/>
    <x v="43"/>
    <x v="1"/>
    <n v="3"/>
    <n v="50"/>
    <n v="150"/>
    <s v="60+"/>
    <x v="6"/>
    <n v="2023"/>
    <s v="T1-2023"/>
  </r>
  <r>
    <n v="120"/>
    <d v="2023-05-07T00:00:00"/>
    <x v="119"/>
    <x v="0"/>
    <x v="43"/>
    <x v="0"/>
    <n v="1"/>
    <n v="50"/>
    <n v="50"/>
    <s v="60+"/>
    <x v="3"/>
    <n v="2023"/>
    <s v="T2-2023"/>
  </r>
  <r>
    <n v="121"/>
    <d v="2023-10-15T00:00:00"/>
    <x v="120"/>
    <x v="1"/>
    <x v="20"/>
    <x v="2"/>
    <n v="4"/>
    <n v="50"/>
    <n v="200"/>
    <s v="60+"/>
    <x v="21"/>
    <n v="2023"/>
    <s v="T4-2023"/>
  </r>
  <r>
    <n v="122"/>
    <d v="2023-10-03T00:00:00"/>
    <x v="121"/>
    <x v="0"/>
    <x v="12"/>
    <x v="2"/>
    <n v="4"/>
    <n v="30"/>
    <n v="120"/>
    <s v="60+"/>
    <x v="42"/>
    <n v="2023"/>
    <s v="T4-2023"/>
  </r>
  <r>
    <n v="123"/>
    <d v="2023-05-15T00:00:00"/>
    <x v="122"/>
    <x v="1"/>
    <x v="30"/>
    <x v="2"/>
    <n v="2"/>
    <n v="30"/>
    <n v="60"/>
    <s v="60+"/>
    <x v="47"/>
    <n v="2023"/>
    <s v="T2-2023"/>
  </r>
  <r>
    <n v="124"/>
    <d v="2023-10-27T00:00:00"/>
    <x v="123"/>
    <x v="0"/>
    <x v="44"/>
    <x v="1"/>
    <n v="4"/>
    <n v="500"/>
    <n v="2000"/>
    <s v="60+"/>
    <x v="56"/>
    <n v="2023"/>
    <s v="T4-2023"/>
  </r>
  <r>
    <n v="125"/>
    <d v="2023-08-08T00:00:00"/>
    <x v="124"/>
    <x v="0"/>
    <x v="27"/>
    <x v="1"/>
    <n v="2"/>
    <n v="50"/>
    <n v="100"/>
    <s v="60+"/>
    <x v="65"/>
    <n v="2023"/>
    <s v="T3-2023"/>
  </r>
  <r>
    <n v="126"/>
    <d v="2023-10-26T00:00:00"/>
    <x v="125"/>
    <x v="1"/>
    <x v="20"/>
    <x v="1"/>
    <n v="3"/>
    <n v="30"/>
    <n v="90"/>
    <s v="60+"/>
    <x v="66"/>
    <n v="2023"/>
    <s v="T4-2023"/>
  </r>
  <r>
    <n v="127"/>
    <d v="2023-07-24T00:00:00"/>
    <x v="126"/>
    <x v="1"/>
    <x v="44"/>
    <x v="1"/>
    <n v="2"/>
    <n v="25"/>
    <n v="50"/>
    <s v="60+"/>
    <x v="37"/>
    <n v="2023"/>
    <s v="T3-2023"/>
  </r>
  <r>
    <n v="128"/>
    <d v="2023-07-05T00:00:00"/>
    <x v="127"/>
    <x v="0"/>
    <x v="36"/>
    <x v="0"/>
    <n v="1"/>
    <n v="500"/>
    <n v="500"/>
    <s v="60+"/>
    <x v="45"/>
    <n v="2023"/>
    <s v="T3-2023"/>
  </r>
  <r>
    <n v="129"/>
    <d v="2023-04-23T00:00:00"/>
    <x v="128"/>
    <x v="1"/>
    <x v="34"/>
    <x v="0"/>
    <n v="2"/>
    <n v="300"/>
    <n v="600"/>
    <s v="60+"/>
    <x v="17"/>
    <n v="2023"/>
    <s v="T2-2023"/>
  </r>
  <r>
    <n v="130"/>
    <d v="2023-03-12T00:00:00"/>
    <x v="129"/>
    <x v="1"/>
    <x v="35"/>
    <x v="1"/>
    <n v="1"/>
    <n v="500"/>
    <n v="500"/>
    <s v="60+"/>
    <x v="40"/>
    <n v="2023"/>
    <s v="T1-2023"/>
  </r>
  <r>
    <n v="131"/>
    <d v="2023-09-18T00:00:00"/>
    <x v="130"/>
    <x v="1"/>
    <x v="34"/>
    <x v="0"/>
    <n v="2"/>
    <n v="300"/>
    <n v="600"/>
    <s v="60+"/>
    <x v="67"/>
    <n v="2023"/>
    <s v="T3-2023"/>
  </r>
  <r>
    <n v="132"/>
    <d v="2023-09-10T00:00:00"/>
    <x v="131"/>
    <x v="0"/>
    <x v="13"/>
    <x v="2"/>
    <n v="4"/>
    <n v="50"/>
    <n v="200"/>
    <s v="60+"/>
    <x v="68"/>
    <n v="2023"/>
    <s v="T3-2023"/>
  </r>
  <r>
    <n v="133"/>
    <d v="2023-02-16T00:00:00"/>
    <x v="132"/>
    <x v="0"/>
    <x v="29"/>
    <x v="2"/>
    <n v="3"/>
    <n v="300"/>
    <n v="900"/>
    <s v="60+"/>
    <x v="69"/>
    <n v="2023"/>
    <s v="T1-2023"/>
  </r>
  <r>
    <n v="134"/>
    <d v="2023-01-25T00:00:00"/>
    <x v="133"/>
    <x v="0"/>
    <x v="19"/>
    <x v="2"/>
    <n v="1"/>
    <n v="50"/>
    <n v="50"/>
    <s v="60+"/>
    <x v="28"/>
    <n v="2023"/>
    <s v="T1-2023"/>
  </r>
  <r>
    <n v="135"/>
    <d v="2023-02-26T00:00:00"/>
    <x v="134"/>
    <x v="0"/>
    <x v="29"/>
    <x v="1"/>
    <n v="2"/>
    <n v="25"/>
    <n v="50"/>
    <s v="60+"/>
    <x v="36"/>
    <n v="2023"/>
    <s v="T1-2023"/>
  </r>
  <r>
    <n v="136"/>
    <d v="2023-03-20T00:00:00"/>
    <x v="135"/>
    <x v="0"/>
    <x v="24"/>
    <x v="2"/>
    <n v="2"/>
    <n v="300"/>
    <n v="600"/>
    <s v="60+"/>
    <x v="6"/>
    <n v="2023"/>
    <s v="T1-2023"/>
  </r>
  <r>
    <n v="137"/>
    <d v="2023-11-18T00:00:00"/>
    <x v="136"/>
    <x v="0"/>
    <x v="6"/>
    <x v="0"/>
    <n v="2"/>
    <n v="500"/>
    <n v="1000"/>
    <s v="60+"/>
    <x v="44"/>
    <n v="2023"/>
    <s v="T4-2023"/>
  </r>
  <r>
    <n v="138"/>
    <d v="2023-03-23T00:00:00"/>
    <x v="137"/>
    <x v="0"/>
    <x v="19"/>
    <x v="1"/>
    <n v="4"/>
    <n v="50"/>
    <n v="200"/>
    <s v="60+"/>
    <x v="29"/>
    <n v="2023"/>
    <s v="T1-2023"/>
  </r>
  <r>
    <n v="139"/>
    <d v="2023-12-15T00:00:00"/>
    <x v="138"/>
    <x v="0"/>
    <x v="32"/>
    <x v="0"/>
    <n v="4"/>
    <n v="500"/>
    <n v="2000"/>
    <s v="60+"/>
    <x v="70"/>
    <n v="2023"/>
    <s v="T4-2023"/>
  </r>
  <r>
    <n v="140"/>
    <d v="2023-08-05T00:00:00"/>
    <x v="139"/>
    <x v="0"/>
    <x v="21"/>
    <x v="2"/>
    <n v="1"/>
    <n v="30"/>
    <n v="30"/>
    <s v="60+"/>
    <x v="12"/>
    <n v="2023"/>
    <s v="T3-2023"/>
  </r>
  <r>
    <n v="141"/>
    <d v="2023-11-02T00:00:00"/>
    <x v="140"/>
    <x v="1"/>
    <x v="11"/>
    <x v="2"/>
    <n v="1"/>
    <n v="50"/>
    <n v="50"/>
    <s v="60+"/>
    <x v="71"/>
    <n v="2023"/>
    <s v="T4-2023"/>
  </r>
  <r>
    <n v="142"/>
    <d v="2023-02-02T00:00:00"/>
    <x v="141"/>
    <x v="0"/>
    <x v="10"/>
    <x v="2"/>
    <n v="4"/>
    <n v="300"/>
    <n v="1200"/>
    <s v="60+"/>
    <x v="69"/>
    <n v="2023"/>
    <s v="T1-2023"/>
  </r>
  <r>
    <n v="143"/>
    <d v="2023-07-17T00:00:00"/>
    <x v="142"/>
    <x v="1"/>
    <x v="5"/>
    <x v="1"/>
    <n v="1"/>
    <n v="50"/>
    <n v="50"/>
    <s v="60+"/>
    <x v="37"/>
    <n v="2023"/>
    <s v="T3-2023"/>
  </r>
  <r>
    <n v="144"/>
    <d v="2023-07-15T00:00:00"/>
    <x v="143"/>
    <x v="1"/>
    <x v="42"/>
    <x v="0"/>
    <n v="3"/>
    <n v="500"/>
    <n v="1500"/>
    <s v="60+"/>
    <x v="51"/>
    <n v="2023"/>
    <s v="T3-2023"/>
  </r>
  <r>
    <n v="145"/>
    <d v="2023-11-02T00:00:00"/>
    <x v="144"/>
    <x v="1"/>
    <x v="23"/>
    <x v="1"/>
    <n v="3"/>
    <n v="25"/>
    <n v="75"/>
    <s v="60+"/>
    <x v="71"/>
    <n v="2023"/>
    <s v="T4-2023"/>
  </r>
  <r>
    <n v="146"/>
    <d v="2023-08-28T00:00:00"/>
    <x v="145"/>
    <x v="0"/>
    <x v="21"/>
    <x v="1"/>
    <n v="4"/>
    <n v="50"/>
    <n v="200"/>
    <s v="60+"/>
    <x v="48"/>
    <n v="2023"/>
    <s v="T3-2023"/>
  </r>
  <r>
    <n v="147"/>
    <d v="2023-09-28T00:00:00"/>
    <x v="146"/>
    <x v="0"/>
    <x v="9"/>
    <x v="2"/>
    <n v="1"/>
    <n v="300"/>
    <n v="300"/>
    <s v="60+"/>
    <x v="72"/>
    <n v="2023"/>
    <s v="T3-2023"/>
  </r>
  <r>
    <n v="148"/>
    <d v="2023-05-09T00:00:00"/>
    <x v="147"/>
    <x v="0"/>
    <x v="18"/>
    <x v="1"/>
    <n v="2"/>
    <n v="30"/>
    <n v="60"/>
    <s v="60+"/>
    <x v="27"/>
    <n v="2023"/>
    <s v="T2-2023"/>
  </r>
  <r>
    <n v="149"/>
    <d v="2023-10-11T00:00:00"/>
    <x v="148"/>
    <x v="0"/>
    <x v="11"/>
    <x v="1"/>
    <n v="3"/>
    <n v="25"/>
    <n v="75"/>
    <s v="60+"/>
    <x v="62"/>
    <n v="2023"/>
    <s v="T4-2023"/>
  </r>
  <r>
    <n v="150"/>
    <d v="2023-01-06T00:00:00"/>
    <x v="149"/>
    <x v="1"/>
    <x v="26"/>
    <x v="2"/>
    <n v="4"/>
    <n v="30"/>
    <n v="120"/>
    <s v="60+"/>
    <x v="2"/>
    <n v="2023"/>
    <s v="T1-2023"/>
  </r>
  <r>
    <n v="151"/>
    <d v="2023-12-15T00:00:00"/>
    <x v="150"/>
    <x v="0"/>
    <x v="38"/>
    <x v="1"/>
    <n v="1"/>
    <n v="50"/>
    <n v="50"/>
    <s v="60+"/>
    <x v="70"/>
    <n v="2023"/>
    <s v="T4-2023"/>
  </r>
  <r>
    <n v="152"/>
    <d v="2023-02-28T00:00:00"/>
    <x v="151"/>
    <x v="0"/>
    <x v="22"/>
    <x v="2"/>
    <n v="4"/>
    <n v="500"/>
    <n v="2000"/>
    <s v="60+"/>
    <x v="10"/>
    <n v="2023"/>
    <s v="T1-2023"/>
  </r>
  <r>
    <n v="153"/>
    <d v="2023-12-16T00:00:00"/>
    <x v="152"/>
    <x v="0"/>
    <x v="7"/>
    <x v="2"/>
    <n v="2"/>
    <n v="500"/>
    <n v="1000"/>
    <s v="60+"/>
    <x v="52"/>
    <n v="2023"/>
    <s v="T4-2023"/>
  </r>
  <r>
    <n v="154"/>
    <d v="2023-10-02T00:00:00"/>
    <x v="153"/>
    <x v="0"/>
    <x v="25"/>
    <x v="2"/>
    <n v="3"/>
    <n v="300"/>
    <n v="900"/>
    <s v="60+"/>
    <x v="11"/>
    <n v="2023"/>
    <s v="T4-2023"/>
  </r>
  <r>
    <n v="155"/>
    <d v="2023-05-17T00:00:00"/>
    <x v="154"/>
    <x v="0"/>
    <x v="33"/>
    <x v="2"/>
    <n v="4"/>
    <n v="500"/>
    <n v="2000"/>
    <s v="60+"/>
    <x v="43"/>
    <n v="2023"/>
    <s v="T2-2023"/>
  </r>
  <r>
    <n v="156"/>
    <d v="2023-11-25T00:00:00"/>
    <x v="155"/>
    <x v="1"/>
    <x v="22"/>
    <x v="1"/>
    <n v="4"/>
    <n v="25"/>
    <n v="100"/>
    <s v="60+"/>
    <x v="44"/>
    <n v="2023"/>
    <s v="T4-2023"/>
  </r>
  <r>
    <n v="157"/>
    <d v="2023-06-24T00:00:00"/>
    <x v="156"/>
    <x v="0"/>
    <x v="17"/>
    <x v="2"/>
    <n v="4"/>
    <n v="500"/>
    <n v="2000"/>
    <s v="60+"/>
    <x v="31"/>
    <n v="2023"/>
    <s v="T2-2023"/>
  </r>
  <r>
    <n v="158"/>
    <d v="2023-02-27T00:00:00"/>
    <x v="157"/>
    <x v="1"/>
    <x v="24"/>
    <x v="2"/>
    <n v="2"/>
    <n v="300"/>
    <n v="600"/>
    <s v="60+"/>
    <x v="1"/>
    <n v="2023"/>
    <s v="T1-2023"/>
  </r>
  <r>
    <n v="159"/>
    <d v="2023-05-31T00:00:00"/>
    <x v="158"/>
    <x v="0"/>
    <x v="1"/>
    <x v="1"/>
    <n v="4"/>
    <n v="50"/>
    <n v="200"/>
    <s v="60+"/>
    <x v="43"/>
    <n v="2023"/>
    <s v="T2-2023"/>
  </r>
  <r>
    <n v="160"/>
    <d v="2023-08-11T00:00:00"/>
    <x v="159"/>
    <x v="1"/>
    <x v="22"/>
    <x v="1"/>
    <n v="2"/>
    <n v="50"/>
    <n v="100"/>
    <s v="60+"/>
    <x v="26"/>
    <n v="2023"/>
    <s v="T3-2023"/>
  </r>
  <r>
    <n v="161"/>
    <d v="2023-03-22T00:00:00"/>
    <x v="160"/>
    <x v="0"/>
    <x v="12"/>
    <x v="0"/>
    <n v="2"/>
    <n v="500"/>
    <n v="1000"/>
    <s v="60+"/>
    <x v="54"/>
    <n v="2023"/>
    <s v="T1-2023"/>
  </r>
  <r>
    <n v="162"/>
    <d v="2023-08-21T00:00:00"/>
    <x v="161"/>
    <x v="0"/>
    <x v="23"/>
    <x v="1"/>
    <n v="2"/>
    <n v="30"/>
    <n v="60"/>
    <s v="60+"/>
    <x v="48"/>
    <n v="2023"/>
    <s v="T3-2023"/>
  </r>
  <r>
    <n v="163"/>
    <d v="2023-01-02T00:00:00"/>
    <x v="162"/>
    <x v="1"/>
    <x v="12"/>
    <x v="1"/>
    <n v="3"/>
    <n v="50"/>
    <n v="150"/>
    <s v="60+"/>
    <x v="14"/>
    <n v="2023"/>
    <s v="T1-2023"/>
  </r>
  <r>
    <n v="164"/>
    <d v="2023-05-15T00:00:00"/>
    <x v="163"/>
    <x v="1"/>
    <x v="16"/>
    <x v="0"/>
    <n v="3"/>
    <n v="500"/>
    <n v="1500"/>
    <s v="60+"/>
    <x v="47"/>
    <n v="2023"/>
    <s v="T2-2023"/>
  </r>
  <r>
    <n v="165"/>
    <d v="2023-09-14T00:00:00"/>
    <x v="164"/>
    <x v="1"/>
    <x v="43"/>
    <x v="1"/>
    <n v="4"/>
    <n v="300"/>
    <n v="1200"/>
    <s v="60+"/>
    <x v="72"/>
    <n v="2023"/>
    <s v="T3-2023"/>
  </r>
  <r>
    <n v="166"/>
    <d v="2023-04-02T00:00:00"/>
    <x v="165"/>
    <x v="0"/>
    <x v="0"/>
    <x v="1"/>
    <n v="4"/>
    <n v="500"/>
    <n v="2000"/>
    <s v="60+"/>
    <x v="17"/>
    <n v="2023"/>
    <s v="T2-2023"/>
  </r>
  <r>
    <n v="167"/>
    <d v="2023-09-17T00:00:00"/>
    <x v="166"/>
    <x v="1"/>
    <x v="22"/>
    <x v="1"/>
    <n v="3"/>
    <n v="50"/>
    <n v="150"/>
    <s v="60+"/>
    <x v="68"/>
    <n v="2023"/>
    <s v="T3-2023"/>
  </r>
  <r>
    <n v="168"/>
    <d v="2023-02-24T00:00:00"/>
    <x v="167"/>
    <x v="0"/>
    <x v="45"/>
    <x v="1"/>
    <n v="1"/>
    <n v="300"/>
    <n v="300"/>
    <s v="60+"/>
    <x v="15"/>
    <n v="2023"/>
    <s v="T1-2023"/>
  </r>
  <r>
    <n v="169"/>
    <d v="2023-11-17T00:00:00"/>
    <x v="168"/>
    <x v="0"/>
    <x v="18"/>
    <x v="0"/>
    <n v="3"/>
    <n v="500"/>
    <n v="1500"/>
    <s v="60+"/>
    <x v="0"/>
    <n v="2023"/>
    <s v="T4-2023"/>
  </r>
  <r>
    <n v="170"/>
    <d v="2023-06-02T00:00:00"/>
    <x v="169"/>
    <x v="1"/>
    <x v="36"/>
    <x v="1"/>
    <n v="2"/>
    <n v="25"/>
    <n v="50"/>
    <s v="60+"/>
    <x v="57"/>
    <n v="2023"/>
    <s v="T2-2023"/>
  </r>
  <r>
    <n v="171"/>
    <d v="2023-11-24T00:00:00"/>
    <x v="170"/>
    <x v="1"/>
    <x v="8"/>
    <x v="1"/>
    <n v="3"/>
    <n v="300"/>
    <n v="900"/>
    <s v="60+"/>
    <x v="0"/>
    <n v="2023"/>
    <s v="T4-2023"/>
  </r>
  <r>
    <n v="172"/>
    <d v="2023-09-17T00:00:00"/>
    <x v="171"/>
    <x v="0"/>
    <x v="40"/>
    <x v="0"/>
    <n v="2"/>
    <n v="25"/>
    <n v="50"/>
    <s v="60+"/>
    <x v="68"/>
    <n v="2023"/>
    <s v="T3-2023"/>
  </r>
  <r>
    <n v="173"/>
    <d v="2023-11-08T00:00:00"/>
    <x v="172"/>
    <x v="0"/>
    <x v="12"/>
    <x v="2"/>
    <n v="4"/>
    <n v="30"/>
    <n v="120"/>
    <s v="60+"/>
    <x v="23"/>
    <n v="2023"/>
    <s v="T4-2023"/>
  </r>
  <r>
    <n v="174"/>
    <d v="2023-04-12T00:00:00"/>
    <x v="173"/>
    <x v="1"/>
    <x v="23"/>
    <x v="0"/>
    <n v="1"/>
    <n v="300"/>
    <n v="300"/>
    <s v="60+"/>
    <x v="22"/>
    <n v="2023"/>
    <s v="T2-2023"/>
  </r>
  <r>
    <n v="175"/>
    <d v="2023-03-20T00:00:00"/>
    <x v="174"/>
    <x v="1"/>
    <x v="33"/>
    <x v="2"/>
    <n v="4"/>
    <n v="25"/>
    <n v="100"/>
    <s v="60+"/>
    <x v="6"/>
    <n v="2023"/>
    <s v="T1-2023"/>
  </r>
  <r>
    <n v="176"/>
    <d v="2023-07-11T00:00:00"/>
    <x v="175"/>
    <x v="1"/>
    <x v="22"/>
    <x v="0"/>
    <n v="2"/>
    <n v="50"/>
    <n v="100"/>
    <s v="60+"/>
    <x v="60"/>
    <n v="2023"/>
    <s v="T3-2023"/>
  </r>
  <r>
    <n v="177"/>
    <d v="2023-03-24T00:00:00"/>
    <x v="176"/>
    <x v="0"/>
    <x v="5"/>
    <x v="0"/>
    <n v="2"/>
    <n v="50"/>
    <n v="100"/>
    <s v="60+"/>
    <x v="73"/>
    <n v="2023"/>
    <s v="T1-2023"/>
  </r>
  <r>
    <n v="178"/>
    <d v="2023-10-04T00:00:00"/>
    <x v="177"/>
    <x v="0"/>
    <x v="30"/>
    <x v="1"/>
    <n v="2"/>
    <n v="30"/>
    <n v="60"/>
    <s v="60+"/>
    <x v="62"/>
    <n v="2023"/>
    <s v="T4-2023"/>
  </r>
  <r>
    <n v="179"/>
    <d v="2023-09-29T00:00:00"/>
    <x v="178"/>
    <x v="0"/>
    <x v="33"/>
    <x v="2"/>
    <n v="1"/>
    <n v="300"/>
    <n v="300"/>
    <s v="60+"/>
    <x v="74"/>
    <n v="2023"/>
    <s v="T3-2023"/>
  </r>
  <r>
    <n v="180"/>
    <d v="2023-01-01T00:00:00"/>
    <x v="179"/>
    <x v="0"/>
    <x v="41"/>
    <x v="1"/>
    <n v="3"/>
    <n v="300"/>
    <n v="900"/>
    <s v="60+"/>
    <x v="58"/>
    <n v="2023"/>
    <s v="T1-2023"/>
  </r>
  <r>
    <n v="181"/>
    <d v="2023-11-03T00:00:00"/>
    <x v="180"/>
    <x v="0"/>
    <x v="14"/>
    <x v="2"/>
    <n v="4"/>
    <n v="300"/>
    <n v="1200"/>
    <s v="60+"/>
    <x v="0"/>
    <n v="2023"/>
    <s v="T4-2023"/>
  </r>
  <r>
    <n v="182"/>
    <d v="2023-06-15T00:00:00"/>
    <x v="181"/>
    <x v="0"/>
    <x v="17"/>
    <x v="0"/>
    <n v="4"/>
    <n v="30"/>
    <n v="120"/>
    <s v="60+"/>
    <x v="34"/>
    <n v="2023"/>
    <s v="T2-2023"/>
  </r>
  <r>
    <n v="183"/>
    <d v="2023-09-08T00:00:00"/>
    <x v="182"/>
    <x v="1"/>
    <x v="22"/>
    <x v="0"/>
    <n v="3"/>
    <n v="300"/>
    <n v="900"/>
    <s v="60+"/>
    <x v="74"/>
    <n v="2023"/>
    <s v="T3-2023"/>
  </r>
  <r>
    <n v="184"/>
    <d v="2023-01-10T00:00:00"/>
    <x v="183"/>
    <x v="0"/>
    <x v="33"/>
    <x v="2"/>
    <n v="4"/>
    <n v="50"/>
    <n v="200"/>
    <s v="60+"/>
    <x v="13"/>
    <n v="2023"/>
    <s v="T1-2023"/>
  </r>
  <r>
    <n v="185"/>
    <d v="2023-02-27T00:00:00"/>
    <x v="184"/>
    <x v="0"/>
    <x v="46"/>
    <x v="1"/>
    <n v="1"/>
    <n v="25"/>
    <n v="25"/>
    <s v="60+"/>
    <x v="1"/>
    <n v="2023"/>
    <s v="T1-2023"/>
  </r>
  <r>
    <n v="186"/>
    <d v="2023-07-05T00:00:00"/>
    <x v="185"/>
    <x v="0"/>
    <x v="29"/>
    <x v="1"/>
    <n v="4"/>
    <n v="50"/>
    <n v="200"/>
    <s v="60+"/>
    <x v="45"/>
    <n v="2023"/>
    <s v="T3-2023"/>
  </r>
  <r>
    <n v="187"/>
    <d v="2023-06-07T00:00:00"/>
    <x v="186"/>
    <x v="1"/>
    <x v="12"/>
    <x v="1"/>
    <n v="2"/>
    <n v="50"/>
    <n v="100"/>
    <s v="60+"/>
    <x v="75"/>
    <n v="2023"/>
    <s v="T2-2023"/>
  </r>
  <r>
    <n v="188"/>
    <d v="2023-05-03T00:00:00"/>
    <x v="187"/>
    <x v="0"/>
    <x v="30"/>
    <x v="1"/>
    <n v="3"/>
    <n v="25"/>
    <n v="75"/>
    <s v="60+"/>
    <x v="43"/>
    <n v="2023"/>
    <s v="T2-2023"/>
  </r>
  <r>
    <n v="189"/>
    <d v="2023-01-30T00:00:00"/>
    <x v="188"/>
    <x v="0"/>
    <x v="7"/>
    <x v="0"/>
    <n v="1"/>
    <n v="50"/>
    <n v="50"/>
    <s v="60+"/>
    <x v="14"/>
    <n v="2023"/>
    <s v="T1-2023"/>
  </r>
  <r>
    <n v="190"/>
    <d v="2023-05-04T00:00:00"/>
    <x v="189"/>
    <x v="1"/>
    <x v="43"/>
    <x v="0"/>
    <n v="3"/>
    <n v="30"/>
    <n v="90"/>
    <s v="60+"/>
    <x v="61"/>
    <n v="2023"/>
    <s v="T2-2023"/>
  </r>
  <r>
    <n v="191"/>
    <d v="2023-10-18T00:00:00"/>
    <x v="190"/>
    <x v="0"/>
    <x v="12"/>
    <x v="0"/>
    <n v="1"/>
    <n v="25"/>
    <n v="25"/>
    <s v="60+"/>
    <x v="62"/>
    <n v="2023"/>
    <s v="T4-2023"/>
  </r>
  <r>
    <n v="192"/>
    <d v="2023-02-10T00:00:00"/>
    <x v="191"/>
    <x v="0"/>
    <x v="17"/>
    <x v="0"/>
    <n v="2"/>
    <n v="50"/>
    <n v="100"/>
    <s v="60+"/>
    <x v="15"/>
    <n v="2023"/>
    <s v="T1-2023"/>
  </r>
  <r>
    <n v="193"/>
    <d v="2023-02-13T00:00:00"/>
    <x v="192"/>
    <x v="0"/>
    <x v="10"/>
    <x v="0"/>
    <n v="3"/>
    <n v="500"/>
    <n v="1500"/>
    <s v="60+"/>
    <x v="1"/>
    <n v="2023"/>
    <s v="T1-2023"/>
  </r>
  <r>
    <n v="194"/>
    <d v="2023-09-06T00:00:00"/>
    <x v="193"/>
    <x v="0"/>
    <x v="28"/>
    <x v="1"/>
    <n v="4"/>
    <n v="50"/>
    <n v="200"/>
    <s v="60+"/>
    <x v="63"/>
    <n v="2023"/>
    <s v="T3-2023"/>
  </r>
  <r>
    <n v="195"/>
    <d v="2023-02-05T00:00:00"/>
    <x v="194"/>
    <x v="0"/>
    <x v="8"/>
    <x v="1"/>
    <n v="1"/>
    <n v="30"/>
    <n v="30"/>
    <s v="60+"/>
    <x v="36"/>
    <n v="2023"/>
    <s v="T1-2023"/>
  </r>
  <r>
    <n v="196"/>
    <d v="2023-09-30T00:00:00"/>
    <x v="195"/>
    <x v="1"/>
    <x v="40"/>
    <x v="1"/>
    <n v="3"/>
    <n v="300"/>
    <n v="900"/>
    <s v="60+"/>
    <x v="18"/>
    <n v="2023"/>
    <s v="T3-2023"/>
  </r>
  <r>
    <n v="197"/>
    <d v="2023-03-06T00:00:00"/>
    <x v="196"/>
    <x v="1"/>
    <x v="13"/>
    <x v="1"/>
    <n v="4"/>
    <n v="50"/>
    <n v="200"/>
    <s v="60+"/>
    <x v="6"/>
    <n v="2023"/>
    <s v="T1-2023"/>
  </r>
  <r>
    <n v="198"/>
    <d v="2023-03-07T00:00:00"/>
    <x v="197"/>
    <x v="1"/>
    <x v="31"/>
    <x v="0"/>
    <n v="3"/>
    <n v="300"/>
    <n v="900"/>
    <s v="60+"/>
    <x v="32"/>
    <n v="2023"/>
    <s v="T1-2023"/>
  </r>
  <r>
    <n v="199"/>
    <d v="2023-12-04T00:00:00"/>
    <x v="198"/>
    <x v="0"/>
    <x v="5"/>
    <x v="0"/>
    <n v="3"/>
    <n v="500"/>
    <n v="1500"/>
    <s v="60+"/>
    <x v="76"/>
    <n v="2023"/>
    <s v="T4-2023"/>
  </r>
  <r>
    <n v="200"/>
    <d v="2023-09-01T00:00:00"/>
    <x v="199"/>
    <x v="0"/>
    <x v="15"/>
    <x v="0"/>
    <n v="3"/>
    <n v="50"/>
    <n v="150"/>
    <s v="60+"/>
    <x v="74"/>
    <n v="2023"/>
    <s v="T3-2023"/>
  </r>
  <r>
    <n v="201"/>
    <d v="2023-10-09T00:00:00"/>
    <x v="200"/>
    <x v="0"/>
    <x v="37"/>
    <x v="2"/>
    <n v="1"/>
    <n v="25"/>
    <n v="25"/>
    <s v="60+"/>
    <x v="11"/>
    <n v="2023"/>
    <s v="T4-2023"/>
  </r>
  <r>
    <n v="202"/>
    <d v="2023-03-26T00:00:00"/>
    <x v="201"/>
    <x v="1"/>
    <x v="0"/>
    <x v="1"/>
    <n v="4"/>
    <n v="300"/>
    <n v="1200"/>
    <s v="60+"/>
    <x v="40"/>
    <n v="2023"/>
    <s v="T1-2023"/>
  </r>
  <r>
    <n v="203"/>
    <d v="2023-05-16T00:00:00"/>
    <x v="202"/>
    <x v="0"/>
    <x v="37"/>
    <x v="1"/>
    <n v="2"/>
    <n v="500"/>
    <n v="1000"/>
    <s v="60+"/>
    <x v="27"/>
    <n v="2023"/>
    <s v="T2-2023"/>
  </r>
  <r>
    <n v="204"/>
    <d v="2023-09-28T00:00:00"/>
    <x v="203"/>
    <x v="0"/>
    <x v="23"/>
    <x v="0"/>
    <n v="1"/>
    <n v="25"/>
    <n v="25"/>
    <s v="60+"/>
    <x v="72"/>
    <n v="2023"/>
    <s v="T3-2023"/>
  </r>
  <r>
    <n v="205"/>
    <d v="2023-11-07T00:00:00"/>
    <x v="204"/>
    <x v="1"/>
    <x v="22"/>
    <x v="1"/>
    <n v="1"/>
    <n v="25"/>
    <n v="25"/>
    <s v="60+"/>
    <x v="53"/>
    <n v="2023"/>
    <s v="T4-2023"/>
  </r>
  <r>
    <n v="206"/>
    <d v="2023-08-05T00:00:00"/>
    <x v="205"/>
    <x v="0"/>
    <x v="39"/>
    <x v="1"/>
    <n v="1"/>
    <n v="25"/>
    <n v="25"/>
    <s v="60+"/>
    <x v="12"/>
    <n v="2023"/>
    <s v="T3-2023"/>
  </r>
  <r>
    <n v="207"/>
    <d v="2023-04-19T00:00:00"/>
    <x v="206"/>
    <x v="1"/>
    <x v="13"/>
    <x v="0"/>
    <n v="2"/>
    <n v="25"/>
    <n v="50"/>
    <s v="60+"/>
    <x v="22"/>
    <n v="2023"/>
    <s v="T2-2023"/>
  </r>
  <r>
    <n v="208"/>
    <d v="2023-10-04T00:00:00"/>
    <x v="207"/>
    <x v="1"/>
    <x v="0"/>
    <x v="2"/>
    <n v="4"/>
    <n v="50"/>
    <n v="200"/>
    <s v="60+"/>
    <x v="62"/>
    <n v="2023"/>
    <s v="T4-2023"/>
  </r>
  <r>
    <n v="209"/>
    <d v="2023-12-20T00:00:00"/>
    <x v="208"/>
    <x v="1"/>
    <x v="4"/>
    <x v="2"/>
    <n v="4"/>
    <n v="50"/>
    <n v="200"/>
    <s v="60+"/>
    <x v="8"/>
    <n v="2023"/>
    <s v="T4-2023"/>
  </r>
  <r>
    <n v="210"/>
    <d v="2023-04-13T00:00:00"/>
    <x v="209"/>
    <x v="0"/>
    <x v="3"/>
    <x v="2"/>
    <n v="4"/>
    <n v="50"/>
    <n v="200"/>
    <s v="60+"/>
    <x v="46"/>
    <n v="2023"/>
    <s v="T2-2023"/>
  </r>
  <r>
    <n v="211"/>
    <d v="2024-01-01T00:00:00"/>
    <x v="210"/>
    <x v="0"/>
    <x v="13"/>
    <x v="0"/>
    <n v="3"/>
    <n v="500"/>
    <n v="1500"/>
    <s v="60+"/>
    <x v="14"/>
    <n v="2024"/>
    <s v="T1-2024"/>
  </r>
  <r>
    <n v="212"/>
    <d v="2023-06-09T00:00:00"/>
    <x v="211"/>
    <x v="0"/>
    <x v="34"/>
    <x v="1"/>
    <n v="3"/>
    <n v="500"/>
    <n v="1500"/>
    <s v="60+"/>
    <x v="57"/>
    <n v="2023"/>
    <s v="T2-2023"/>
  </r>
  <r>
    <n v="213"/>
    <d v="2023-07-24T00:00:00"/>
    <x v="212"/>
    <x v="0"/>
    <x v="15"/>
    <x v="0"/>
    <n v="3"/>
    <n v="500"/>
    <n v="1500"/>
    <s v="60+"/>
    <x v="37"/>
    <n v="2023"/>
    <s v="T3-2023"/>
  </r>
  <r>
    <n v="214"/>
    <d v="2023-12-10T00:00:00"/>
    <x v="213"/>
    <x v="0"/>
    <x v="29"/>
    <x v="0"/>
    <n v="2"/>
    <n v="30"/>
    <n v="60"/>
    <s v="60+"/>
    <x v="30"/>
    <n v="2023"/>
    <s v="T4-2023"/>
  </r>
  <r>
    <n v="215"/>
    <d v="2023-11-29T00:00:00"/>
    <x v="214"/>
    <x v="0"/>
    <x v="26"/>
    <x v="1"/>
    <n v="3"/>
    <n v="500"/>
    <n v="1500"/>
    <s v="60+"/>
    <x v="23"/>
    <n v="2023"/>
    <s v="T4-2023"/>
  </r>
  <r>
    <n v="216"/>
    <d v="2023-07-11T00:00:00"/>
    <x v="215"/>
    <x v="0"/>
    <x v="17"/>
    <x v="2"/>
    <n v="2"/>
    <n v="50"/>
    <n v="100"/>
    <s v="60+"/>
    <x v="60"/>
    <n v="2023"/>
    <s v="T3-2023"/>
  </r>
  <r>
    <n v="217"/>
    <d v="2023-08-13T00:00:00"/>
    <x v="216"/>
    <x v="1"/>
    <x v="10"/>
    <x v="2"/>
    <n v="4"/>
    <n v="50"/>
    <n v="200"/>
    <s v="60+"/>
    <x v="77"/>
    <n v="2023"/>
    <s v="T3-2023"/>
  </r>
  <r>
    <n v="218"/>
    <d v="2023-09-22T00:00:00"/>
    <x v="217"/>
    <x v="0"/>
    <x v="12"/>
    <x v="0"/>
    <n v="3"/>
    <n v="30"/>
    <n v="90"/>
    <s v="60+"/>
    <x v="74"/>
    <n v="2023"/>
    <s v="T3-2023"/>
  </r>
  <r>
    <n v="219"/>
    <d v="2023-08-20T00:00:00"/>
    <x v="218"/>
    <x v="1"/>
    <x v="45"/>
    <x v="2"/>
    <n v="3"/>
    <n v="30"/>
    <n v="90"/>
    <s v="60+"/>
    <x v="77"/>
    <n v="2023"/>
    <s v="T3-2023"/>
  </r>
  <r>
    <n v="220"/>
    <d v="2023-03-03T00:00:00"/>
    <x v="219"/>
    <x v="0"/>
    <x v="12"/>
    <x v="0"/>
    <n v="1"/>
    <n v="500"/>
    <n v="500"/>
    <s v="60+"/>
    <x v="73"/>
    <n v="2023"/>
    <s v="T1-2023"/>
  </r>
  <r>
    <n v="221"/>
    <d v="2023-05-07T00:00:00"/>
    <x v="220"/>
    <x v="0"/>
    <x v="23"/>
    <x v="0"/>
    <n v="2"/>
    <n v="300"/>
    <n v="600"/>
    <s v="60+"/>
    <x v="3"/>
    <n v="2023"/>
    <s v="T2-2023"/>
  </r>
  <r>
    <n v="222"/>
    <d v="2023-04-26T00:00:00"/>
    <x v="221"/>
    <x v="0"/>
    <x v="25"/>
    <x v="1"/>
    <n v="4"/>
    <n v="30"/>
    <n v="120"/>
    <s v="60+"/>
    <x v="22"/>
    <n v="2023"/>
    <s v="T2-2023"/>
  </r>
  <r>
    <n v="223"/>
    <d v="2023-02-02T00:00:00"/>
    <x v="222"/>
    <x v="1"/>
    <x v="12"/>
    <x v="1"/>
    <n v="1"/>
    <n v="25"/>
    <n v="25"/>
    <s v="60+"/>
    <x v="69"/>
    <n v="2023"/>
    <s v="T1-2023"/>
  </r>
  <r>
    <n v="224"/>
    <d v="2023-06-23T00:00:00"/>
    <x v="223"/>
    <x v="1"/>
    <x v="36"/>
    <x v="1"/>
    <n v="1"/>
    <n v="50"/>
    <n v="50"/>
    <s v="60+"/>
    <x v="57"/>
    <n v="2023"/>
    <s v="T2-2023"/>
  </r>
  <r>
    <n v="225"/>
    <d v="2023-01-11T00:00:00"/>
    <x v="224"/>
    <x v="1"/>
    <x v="35"/>
    <x v="0"/>
    <n v="4"/>
    <n v="25"/>
    <n v="100"/>
    <s v="60+"/>
    <x v="28"/>
    <n v="2023"/>
    <s v="T1-2023"/>
  </r>
  <r>
    <n v="226"/>
    <d v="2023-10-29T00:00:00"/>
    <x v="225"/>
    <x v="1"/>
    <x v="39"/>
    <x v="1"/>
    <n v="1"/>
    <n v="50"/>
    <n v="50"/>
    <s v="60+"/>
    <x v="21"/>
    <n v="2023"/>
    <s v="T4-2023"/>
  </r>
  <r>
    <n v="227"/>
    <d v="2023-10-11T00:00:00"/>
    <x v="226"/>
    <x v="0"/>
    <x v="32"/>
    <x v="2"/>
    <n v="2"/>
    <n v="50"/>
    <n v="100"/>
    <s v="60+"/>
    <x v="62"/>
    <n v="2023"/>
    <s v="T4-2023"/>
  </r>
  <r>
    <n v="228"/>
    <d v="2023-04-28T00:00:00"/>
    <x v="227"/>
    <x v="1"/>
    <x v="42"/>
    <x v="2"/>
    <n v="2"/>
    <n v="30"/>
    <n v="60"/>
    <s v="60+"/>
    <x v="33"/>
    <n v="2023"/>
    <s v="T2-2023"/>
  </r>
  <r>
    <n v="229"/>
    <d v="2023-10-29T00:00:00"/>
    <x v="228"/>
    <x v="0"/>
    <x v="26"/>
    <x v="0"/>
    <n v="3"/>
    <n v="30"/>
    <n v="90"/>
    <s v="60+"/>
    <x v="21"/>
    <n v="2023"/>
    <s v="T4-2023"/>
  </r>
  <r>
    <n v="230"/>
    <d v="2023-04-23T00:00:00"/>
    <x v="229"/>
    <x v="0"/>
    <x v="31"/>
    <x v="0"/>
    <n v="1"/>
    <n v="25"/>
    <n v="25"/>
    <s v="60+"/>
    <x v="17"/>
    <n v="2023"/>
    <s v="T2-2023"/>
  </r>
  <r>
    <n v="231"/>
    <d v="2023-01-04T00:00:00"/>
    <x v="230"/>
    <x v="1"/>
    <x v="9"/>
    <x v="1"/>
    <n v="3"/>
    <n v="50"/>
    <n v="150"/>
    <s v="60+"/>
    <x v="28"/>
    <n v="2023"/>
    <s v="T1-2023"/>
  </r>
  <r>
    <n v="232"/>
    <d v="2023-02-06T00:00:00"/>
    <x v="231"/>
    <x v="1"/>
    <x v="22"/>
    <x v="0"/>
    <n v="1"/>
    <n v="25"/>
    <n v="25"/>
    <s v="60+"/>
    <x v="1"/>
    <n v="2023"/>
    <s v="T1-2023"/>
  </r>
  <r>
    <n v="233"/>
    <d v="2023-12-29T00:00:00"/>
    <x v="232"/>
    <x v="1"/>
    <x v="25"/>
    <x v="0"/>
    <n v="2"/>
    <n v="300"/>
    <n v="600"/>
    <s v="60+"/>
    <x v="70"/>
    <n v="2023"/>
    <s v="T4-2023"/>
  </r>
  <r>
    <n v="234"/>
    <d v="2023-11-20T00:00:00"/>
    <x v="233"/>
    <x v="1"/>
    <x v="17"/>
    <x v="2"/>
    <n v="2"/>
    <n v="25"/>
    <n v="50"/>
    <s v="60+"/>
    <x v="39"/>
    <n v="2023"/>
    <s v="T4-2023"/>
  </r>
  <r>
    <n v="235"/>
    <d v="2023-01-31T00:00:00"/>
    <x v="234"/>
    <x v="1"/>
    <x v="9"/>
    <x v="2"/>
    <n v="2"/>
    <n v="500"/>
    <n v="1000"/>
    <s v="60+"/>
    <x v="13"/>
    <n v="2023"/>
    <s v="T1-2023"/>
  </r>
  <r>
    <n v="236"/>
    <d v="2023-04-28T00:00:00"/>
    <x v="235"/>
    <x v="1"/>
    <x v="31"/>
    <x v="1"/>
    <n v="1"/>
    <n v="25"/>
    <n v="25"/>
    <s v="60+"/>
    <x v="33"/>
    <n v="2023"/>
    <s v="T2-2023"/>
  </r>
  <r>
    <n v="237"/>
    <d v="2023-02-04T00:00:00"/>
    <x v="236"/>
    <x v="1"/>
    <x v="2"/>
    <x v="0"/>
    <n v="2"/>
    <n v="500"/>
    <n v="1000"/>
    <s v="60+"/>
    <x v="78"/>
    <n v="2023"/>
    <s v="T1-2023"/>
  </r>
  <r>
    <n v="238"/>
    <d v="2023-01-17T00:00:00"/>
    <x v="237"/>
    <x v="1"/>
    <x v="23"/>
    <x v="0"/>
    <n v="1"/>
    <n v="500"/>
    <n v="500"/>
    <s v="60+"/>
    <x v="13"/>
    <n v="2023"/>
    <s v="T1-2023"/>
  </r>
  <r>
    <n v="239"/>
    <d v="2023-06-19T00:00:00"/>
    <x v="238"/>
    <x v="0"/>
    <x v="21"/>
    <x v="2"/>
    <n v="3"/>
    <n v="500"/>
    <n v="1500"/>
    <s v="60+"/>
    <x v="38"/>
    <n v="2023"/>
    <s v="T2-2023"/>
  </r>
  <r>
    <n v="240"/>
    <d v="2023-02-06T00:00:00"/>
    <x v="239"/>
    <x v="1"/>
    <x v="9"/>
    <x v="0"/>
    <n v="1"/>
    <n v="300"/>
    <n v="300"/>
    <s v="60+"/>
    <x v="1"/>
    <n v="2023"/>
    <s v="T1-2023"/>
  </r>
  <r>
    <n v="241"/>
    <d v="2023-09-21T00:00:00"/>
    <x v="240"/>
    <x v="1"/>
    <x v="9"/>
    <x v="2"/>
    <n v="3"/>
    <n v="25"/>
    <n v="75"/>
    <s v="60+"/>
    <x v="72"/>
    <n v="2023"/>
    <s v="T3-2023"/>
  </r>
  <r>
    <n v="242"/>
    <d v="2023-05-02T00:00:00"/>
    <x v="241"/>
    <x v="0"/>
    <x v="34"/>
    <x v="1"/>
    <n v="1"/>
    <n v="25"/>
    <n v="25"/>
    <s v="60+"/>
    <x v="27"/>
    <n v="2023"/>
    <s v="T2-2023"/>
  </r>
  <r>
    <n v="243"/>
    <d v="2023-05-23T00:00:00"/>
    <x v="242"/>
    <x v="1"/>
    <x v="16"/>
    <x v="2"/>
    <n v="3"/>
    <n v="300"/>
    <n v="900"/>
    <s v="60+"/>
    <x v="27"/>
    <n v="2023"/>
    <s v="T2-2023"/>
  </r>
  <r>
    <n v="244"/>
    <d v="2023-12-09T00:00:00"/>
    <x v="243"/>
    <x v="0"/>
    <x v="20"/>
    <x v="0"/>
    <n v="2"/>
    <n v="50"/>
    <n v="100"/>
    <s v="60+"/>
    <x v="52"/>
    <n v="2023"/>
    <s v="T4-2023"/>
  </r>
  <r>
    <n v="245"/>
    <d v="2023-09-06T00:00:00"/>
    <x v="244"/>
    <x v="0"/>
    <x v="16"/>
    <x v="1"/>
    <n v="3"/>
    <n v="30"/>
    <n v="90"/>
    <s v="60+"/>
    <x v="63"/>
    <n v="2023"/>
    <s v="T3-2023"/>
  </r>
  <r>
    <n v="246"/>
    <d v="2023-04-20T00:00:00"/>
    <x v="245"/>
    <x v="1"/>
    <x v="27"/>
    <x v="2"/>
    <n v="2"/>
    <n v="25"/>
    <n v="50"/>
    <s v="60+"/>
    <x v="46"/>
    <n v="2023"/>
    <s v="T2-2023"/>
  </r>
  <r>
    <n v="247"/>
    <d v="2023-10-04T00:00:00"/>
    <x v="246"/>
    <x v="0"/>
    <x v="41"/>
    <x v="2"/>
    <n v="2"/>
    <n v="30"/>
    <n v="60"/>
    <s v="60+"/>
    <x v="62"/>
    <n v="2023"/>
    <s v="T4-2023"/>
  </r>
  <r>
    <n v="248"/>
    <d v="2023-03-09T00:00:00"/>
    <x v="247"/>
    <x v="0"/>
    <x v="1"/>
    <x v="1"/>
    <n v="3"/>
    <n v="300"/>
    <n v="900"/>
    <s v="60+"/>
    <x v="29"/>
    <n v="2023"/>
    <s v="T1-2023"/>
  </r>
  <r>
    <n v="249"/>
    <d v="2023-10-20T00:00:00"/>
    <x v="248"/>
    <x v="0"/>
    <x v="29"/>
    <x v="1"/>
    <n v="1"/>
    <n v="50"/>
    <n v="50"/>
    <s v="60+"/>
    <x v="56"/>
    <n v="2023"/>
    <s v="T4-2023"/>
  </r>
  <r>
    <n v="250"/>
    <d v="2023-10-23T00:00:00"/>
    <x v="249"/>
    <x v="0"/>
    <x v="27"/>
    <x v="2"/>
    <n v="1"/>
    <n v="50"/>
    <n v="50"/>
    <s v="60+"/>
    <x v="11"/>
    <n v="2023"/>
    <s v="T4-2023"/>
  </r>
  <r>
    <n v="251"/>
    <d v="2023-08-31T00:00:00"/>
    <x v="250"/>
    <x v="1"/>
    <x v="35"/>
    <x v="0"/>
    <n v="4"/>
    <n v="50"/>
    <n v="200"/>
    <s v="60+"/>
    <x v="25"/>
    <n v="2023"/>
    <s v="T3-2023"/>
  </r>
  <r>
    <n v="252"/>
    <d v="2023-05-05T00:00:00"/>
    <x v="251"/>
    <x v="0"/>
    <x v="31"/>
    <x v="2"/>
    <n v="1"/>
    <n v="300"/>
    <n v="300"/>
    <s v="60+"/>
    <x v="55"/>
    <n v="2023"/>
    <s v="T2-2023"/>
  </r>
  <r>
    <n v="253"/>
    <d v="2023-08-31T00:00:00"/>
    <x v="252"/>
    <x v="1"/>
    <x v="45"/>
    <x v="1"/>
    <n v="4"/>
    <n v="500"/>
    <n v="2000"/>
    <s v="60+"/>
    <x v="25"/>
    <n v="2023"/>
    <s v="T3-2023"/>
  </r>
  <r>
    <n v="254"/>
    <d v="2023-07-28T00:00:00"/>
    <x v="253"/>
    <x v="0"/>
    <x v="41"/>
    <x v="2"/>
    <n v="1"/>
    <n v="500"/>
    <n v="500"/>
    <s v="60+"/>
    <x v="35"/>
    <n v="2023"/>
    <s v="T3-2023"/>
  </r>
  <r>
    <n v="255"/>
    <d v="2023-04-08T00:00:00"/>
    <x v="254"/>
    <x v="0"/>
    <x v="27"/>
    <x v="1"/>
    <n v="1"/>
    <n v="30"/>
    <n v="30"/>
    <s v="60+"/>
    <x v="16"/>
    <n v="2023"/>
    <s v="T2-2023"/>
  </r>
  <r>
    <n v="256"/>
    <d v="2023-02-18T00:00:00"/>
    <x v="255"/>
    <x v="0"/>
    <x v="9"/>
    <x v="1"/>
    <n v="2"/>
    <n v="500"/>
    <n v="1000"/>
    <s v="60+"/>
    <x v="78"/>
    <n v="2023"/>
    <s v="T1-2023"/>
  </r>
  <r>
    <n v="257"/>
    <d v="2023-02-19T00:00:00"/>
    <x v="256"/>
    <x v="0"/>
    <x v="14"/>
    <x v="0"/>
    <n v="4"/>
    <n v="500"/>
    <n v="2000"/>
    <s v="60+"/>
    <x v="36"/>
    <n v="2023"/>
    <s v="T1-2023"/>
  </r>
  <r>
    <n v="258"/>
    <d v="2023-12-04T00:00:00"/>
    <x v="257"/>
    <x v="1"/>
    <x v="3"/>
    <x v="1"/>
    <n v="1"/>
    <n v="50"/>
    <n v="50"/>
    <s v="60+"/>
    <x v="76"/>
    <n v="2023"/>
    <s v="T4-2023"/>
  </r>
  <r>
    <n v="259"/>
    <d v="2023-08-09T00:00:00"/>
    <x v="258"/>
    <x v="1"/>
    <x v="5"/>
    <x v="1"/>
    <n v="4"/>
    <n v="50"/>
    <n v="200"/>
    <s v="60+"/>
    <x v="64"/>
    <n v="2023"/>
    <s v="T3-2023"/>
  </r>
  <r>
    <n v="260"/>
    <d v="2023-07-01T00:00:00"/>
    <x v="259"/>
    <x v="0"/>
    <x v="20"/>
    <x v="0"/>
    <n v="2"/>
    <n v="30"/>
    <n v="60"/>
    <s v="60+"/>
    <x v="51"/>
    <n v="2023"/>
    <s v="T3-2023"/>
  </r>
  <r>
    <n v="261"/>
    <d v="2023-08-05T00:00:00"/>
    <x v="260"/>
    <x v="0"/>
    <x v="34"/>
    <x v="1"/>
    <n v="2"/>
    <n v="25"/>
    <n v="50"/>
    <s v="60+"/>
    <x v="12"/>
    <n v="2023"/>
    <s v="T3-2023"/>
  </r>
  <r>
    <n v="262"/>
    <d v="2023-07-30T00:00:00"/>
    <x v="261"/>
    <x v="1"/>
    <x v="40"/>
    <x v="0"/>
    <n v="4"/>
    <n v="30"/>
    <n v="120"/>
    <s v="60+"/>
    <x v="50"/>
    <n v="2023"/>
    <s v="T3-2023"/>
  </r>
  <r>
    <n v="263"/>
    <d v="2023-08-28T00:00:00"/>
    <x v="262"/>
    <x v="0"/>
    <x v="9"/>
    <x v="0"/>
    <n v="2"/>
    <n v="30"/>
    <n v="60"/>
    <s v="60+"/>
    <x v="48"/>
    <n v="2023"/>
    <s v="T3-2023"/>
  </r>
  <r>
    <n v="264"/>
    <d v="2023-01-28T00:00:00"/>
    <x v="263"/>
    <x v="0"/>
    <x v="16"/>
    <x v="1"/>
    <n v="3"/>
    <n v="300"/>
    <n v="900"/>
    <s v="60+"/>
    <x v="20"/>
    <n v="2023"/>
    <s v="T1-2023"/>
  </r>
  <r>
    <n v="265"/>
    <d v="2023-12-11T00:00:00"/>
    <x v="264"/>
    <x v="0"/>
    <x v="28"/>
    <x v="1"/>
    <n v="3"/>
    <n v="300"/>
    <n v="900"/>
    <s v="60+"/>
    <x v="76"/>
    <n v="2023"/>
    <s v="T4-2023"/>
  </r>
  <r>
    <n v="266"/>
    <d v="2023-12-01T00:00:00"/>
    <x v="265"/>
    <x v="1"/>
    <x v="14"/>
    <x v="2"/>
    <n v="2"/>
    <n v="30"/>
    <n v="60"/>
    <s v="60+"/>
    <x v="70"/>
    <n v="2023"/>
    <s v="T4-2023"/>
  </r>
  <r>
    <n v="267"/>
    <d v="2023-11-27T00:00:00"/>
    <x v="266"/>
    <x v="1"/>
    <x v="40"/>
    <x v="0"/>
    <n v="3"/>
    <n v="30"/>
    <n v="90"/>
    <s v="60+"/>
    <x v="39"/>
    <n v="2023"/>
    <s v="T4-2023"/>
  </r>
  <r>
    <n v="268"/>
    <d v="2023-02-20T00:00:00"/>
    <x v="267"/>
    <x v="1"/>
    <x v="20"/>
    <x v="2"/>
    <n v="1"/>
    <n v="30"/>
    <n v="30"/>
    <s v="60+"/>
    <x v="1"/>
    <n v="2023"/>
    <s v="T1-2023"/>
  </r>
  <r>
    <n v="269"/>
    <d v="2023-02-01T00:00:00"/>
    <x v="268"/>
    <x v="0"/>
    <x v="36"/>
    <x v="1"/>
    <n v="4"/>
    <n v="500"/>
    <n v="2000"/>
    <s v="60+"/>
    <x v="7"/>
    <n v="2023"/>
    <s v="T1-2023"/>
  </r>
  <r>
    <n v="270"/>
    <d v="2023-07-26T00:00:00"/>
    <x v="269"/>
    <x v="0"/>
    <x v="22"/>
    <x v="2"/>
    <n v="1"/>
    <n v="300"/>
    <n v="300"/>
    <s v="60+"/>
    <x v="45"/>
    <n v="2023"/>
    <s v="T3-2023"/>
  </r>
  <r>
    <n v="271"/>
    <d v="2023-06-23T00:00:00"/>
    <x v="270"/>
    <x v="1"/>
    <x v="17"/>
    <x v="0"/>
    <n v="4"/>
    <n v="30"/>
    <n v="120"/>
    <s v="60+"/>
    <x v="57"/>
    <n v="2023"/>
    <s v="T2-2023"/>
  </r>
  <r>
    <n v="272"/>
    <d v="2023-02-25T00:00:00"/>
    <x v="271"/>
    <x v="1"/>
    <x v="39"/>
    <x v="2"/>
    <n v="2"/>
    <n v="50"/>
    <n v="100"/>
    <s v="60+"/>
    <x v="78"/>
    <n v="2023"/>
    <s v="T1-2023"/>
  </r>
  <r>
    <n v="273"/>
    <d v="2023-05-08T00:00:00"/>
    <x v="272"/>
    <x v="1"/>
    <x v="11"/>
    <x v="0"/>
    <n v="1"/>
    <n v="50"/>
    <n v="50"/>
    <s v="60+"/>
    <x v="47"/>
    <n v="2023"/>
    <s v="T2-2023"/>
  </r>
  <r>
    <n v="274"/>
    <d v="2023-04-09T00:00:00"/>
    <x v="273"/>
    <x v="1"/>
    <x v="9"/>
    <x v="1"/>
    <n v="2"/>
    <n v="500"/>
    <n v="1000"/>
    <s v="60+"/>
    <x v="17"/>
    <n v="2023"/>
    <s v="T2-2023"/>
  </r>
  <r>
    <n v="275"/>
    <d v="2023-04-08T00:00:00"/>
    <x v="274"/>
    <x v="0"/>
    <x v="22"/>
    <x v="1"/>
    <n v="2"/>
    <n v="500"/>
    <n v="1000"/>
    <s v="60+"/>
    <x v="16"/>
    <n v="2023"/>
    <s v="T2-2023"/>
  </r>
  <r>
    <n v="276"/>
    <d v="2023-10-02T00:00:00"/>
    <x v="275"/>
    <x v="1"/>
    <x v="34"/>
    <x v="0"/>
    <n v="4"/>
    <n v="25"/>
    <n v="100"/>
    <s v="60+"/>
    <x v="11"/>
    <n v="2023"/>
    <s v="T4-2023"/>
  </r>
  <r>
    <n v="277"/>
    <d v="2023-08-18T00:00:00"/>
    <x v="276"/>
    <x v="0"/>
    <x v="32"/>
    <x v="1"/>
    <n v="4"/>
    <n v="25"/>
    <n v="100"/>
    <s v="60+"/>
    <x v="26"/>
    <n v="2023"/>
    <s v="T3-2023"/>
  </r>
  <r>
    <n v="278"/>
    <d v="2023-03-13T00:00:00"/>
    <x v="277"/>
    <x v="1"/>
    <x v="3"/>
    <x v="1"/>
    <n v="4"/>
    <n v="25"/>
    <n v="100"/>
    <s v="60+"/>
    <x v="6"/>
    <n v="2023"/>
    <s v="T1-2023"/>
  </r>
  <r>
    <n v="279"/>
    <d v="2023-08-05T00:00:00"/>
    <x v="278"/>
    <x v="0"/>
    <x v="2"/>
    <x v="1"/>
    <n v="1"/>
    <n v="500"/>
    <n v="500"/>
    <s v="60+"/>
    <x v="12"/>
    <n v="2023"/>
    <s v="T3-2023"/>
  </r>
  <r>
    <n v="280"/>
    <d v="2023-04-04T00:00:00"/>
    <x v="279"/>
    <x v="1"/>
    <x v="3"/>
    <x v="1"/>
    <n v="3"/>
    <n v="500"/>
    <n v="1500"/>
    <s v="60+"/>
    <x v="5"/>
    <n v="2023"/>
    <s v="T2-2023"/>
  </r>
  <r>
    <n v="281"/>
    <d v="2023-05-23T00:00:00"/>
    <x v="280"/>
    <x v="1"/>
    <x v="38"/>
    <x v="0"/>
    <n v="4"/>
    <n v="500"/>
    <n v="2000"/>
    <s v="60+"/>
    <x v="27"/>
    <n v="2023"/>
    <s v="T2-2023"/>
  </r>
  <r>
    <n v="282"/>
    <d v="2023-08-25T00:00:00"/>
    <x v="281"/>
    <x v="1"/>
    <x v="12"/>
    <x v="2"/>
    <n v="4"/>
    <n v="50"/>
    <n v="200"/>
    <s v="60+"/>
    <x v="26"/>
    <n v="2023"/>
    <s v="T3-2023"/>
  </r>
  <r>
    <n v="283"/>
    <d v="2023-05-08T00:00:00"/>
    <x v="282"/>
    <x v="1"/>
    <x v="18"/>
    <x v="2"/>
    <n v="1"/>
    <n v="500"/>
    <n v="500"/>
    <s v="60+"/>
    <x v="47"/>
    <n v="2023"/>
    <s v="T2-2023"/>
  </r>
  <r>
    <n v="284"/>
    <d v="2023-02-08T00:00:00"/>
    <x v="283"/>
    <x v="0"/>
    <x v="22"/>
    <x v="1"/>
    <n v="4"/>
    <n v="50"/>
    <n v="200"/>
    <s v="60+"/>
    <x v="7"/>
    <n v="2023"/>
    <s v="T1-2023"/>
  </r>
  <r>
    <n v="285"/>
    <d v="2023-08-15T00:00:00"/>
    <x v="284"/>
    <x v="1"/>
    <x v="33"/>
    <x v="2"/>
    <n v="1"/>
    <n v="25"/>
    <n v="25"/>
    <s v="60+"/>
    <x v="65"/>
    <n v="2023"/>
    <s v="T3-2023"/>
  </r>
  <r>
    <n v="286"/>
    <d v="2023-10-09T00:00:00"/>
    <x v="285"/>
    <x v="0"/>
    <x v="28"/>
    <x v="2"/>
    <n v="2"/>
    <n v="25"/>
    <n v="50"/>
    <s v="60+"/>
    <x v="11"/>
    <n v="2023"/>
    <s v="T4-2023"/>
  </r>
  <r>
    <n v="287"/>
    <d v="2023-02-20T00:00:00"/>
    <x v="286"/>
    <x v="0"/>
    <x v="31"/>
    <x v="1"/>
    <n v="4"/>
    <n v="25"/>
    <n v="100"/>
    <s v="60+"/>
    <x v="1"/>
    <n v="2023"/>
    <s v="T1-2023"/>
  </r>
  <r>
    <n v="288"/>
    <d v="2023-01-26T00:00:00"/>
    <x v="287"/>
    <x v="0"/>
    <x v="20"/>
    <x v="1"/>
    <n v="4"/>
    <n v="30"/>
    <n v="120"/>
    <s v="60+"/>
    <x v="79"/>
    <n v="2023"/>
    <s v="T1-2023"/>
  </r>
  <r>
    <n v="289"/>
    <d v="2023-11-30T00:00:00"/>
    <x v="288"/>
    <x v="0"/>
    <x v="45"/>
    <x v="2"/>
    <n v="2"/>
    <n v="30"/>
    <n v="60"/>
    <s v="60+"/>
    <x v="71"/>
    <n v="2023"/>
    <s v="T4-2023"/>
  </r>
  <r>
    <n v="290"/>
    <d v="2023-10-04T00:00:00"/>
    <x v="289"/>
    <x v="1"/>
    <x v="4"/>
    <x v="0"/>
    <n v="2"/>
    <n v="300"/>
    <n v="600"/>
    <s v="60+"/>
    <x v="62"/>
    <n v="2023"/>
    <s v="T4-2023"/>
  </r>
  <r>
    <n v="291"/>
    <d v="2023-01-08T00:00:00"/>
    <x v="290"/>
    <x v="0"/>
    <x v="43"/>
    <x v="1"/>
    <n v="2"/>
    <n v="300"/>
    <n v="600"/>
    <s v="60+"/>
    <x v="58"/>
    <n v="2023"/>
    <s v="T1-2023"/>
  </r>
  <r>
    <n v="292"/>
    <d v="2023-02-17T00:00:00"/>
    <x v="291"/>
    <x v="0"/>
    <x v="29"/>
    <x v="0"/>
    <n v="4"/>
    <n v="300"/>
    <n v="1200"/>
    <s v="60+"/>
    <x v="15"/>
    <n v="2023"/>
    <s v="T1-2023"/>
  </r>
  <r>
    <n v="293"/>
    <d v="2023-05-02T00:00:00"/>
    <x v="292"/>
    <x v="0"/>
    <x v="2"/>
    <x v="2"/>
    <n v="3"/>
    <n v="30"/>
    <n v="90"/>
    <s v="60+"/>
    <x v="27"/>
    <n v="2023"/>
    <s v="T2-2023"/>
  </r>
  <r>
    <n v="294"/>
    <d v="2023-03-27T00:00:00"/>
    <x v="293"/>
    <x v="1"/>
    <x v="9"/>
    <x v="1"/>
    <n v="3"/>
    <n v="30"/>
    <n v="90"/>
    <s v="60+"/>
    <x v="6"/>
    <n v="2023"/>
    <s v="T1-2023"/>
  </r>
  <r>
    <n v="295"/>
    <d v="2023-07-28T00:00:00"/>
    <x v="294"/>
    <x v="1"/>
    <x v="15"/>
    <x v="0"/>
    <n v="3"/>
    <n v="300"/>
    <n v="900"/>
    <s v="60+"/>
    <x v="35"/>
    <n v="2023"/>
    <s v="T3-2023"/>
  </r>
  <r>
    <n v="296"/>
    <d v="2023-09-06T00:00:00"/>
    <x v="295"/>
    <x v="1"/>
    <x v="11"/>
    <x v="1"/>
    <n v="4"/>
    <n v="300"/>
    <n v="1200"/>
    <s v="60+"/>
    <x v="63"/>
    <n v="2023"/>
    <s v="T3-2023"/>
  </r>
  <r>
    <n v="297"/>
    <d v="2023-09-04T00:00:00"/>
    <x v="296"/>
    <x v="1"/>
    <x v="30"/>
    <x v="2"/>
    <n v="2"/>
    <n v="500"/>
    <n v="1000"/>
    <s v="60+"/>
    <x v="67"/>
    <n v="2023"/>
    <s v="T3-2023"/>
  </r>
  <r>
    <n v="298"/>
    <d v="2023-04-20T00:00:00"/>
    <x v="297"/>
    <x v="0"/>
    <x v="15"/>
    <x v="0"/>
    <n v="4"/>
    <n v="300"/>
    <n v="1200"/>
    <s v="60+"/>
    <x v="46"/>
    <n v="2023"/>
    <s v="T2-2023"/>
  </r>
  <r>
    <n v="299"/>
    <d v="2023-07-25T00:00:00"/>
    <x v="298"/>
    <x v="0"/>
    <x v="39"/>
    <x v="2"/>
    <n v="2"/>
    <n v="500"/>
    <n v="1000"/>
    <s v="60+"/>
    <x v="60"/>
    <n v="2023"/>
    <s v="T3-2023"/>
  </r>
  <r>
    <n v="300"/>
    <d v="2023-01-31T00:00:00"/>
    <x v="299"/>
    <x v="1"/>
    <x v="14"/>
    <x v="2"/>
    <n v="4"/>
    <n v="50"/>
    <n v="200"/>
    <s v="60+"/>
    <x v="13"/>
    <n v="2023"/>
    <s v="T1-2023"/>
  </r>
  <r>
    <n v="301"/>
    <d v="2023-03-26T00:00:00"/>
    <x v="300"/>
    <x v="0"/>
    <x v="4"/>
    <x v="1"/>
    <n v="4"/>
    <n v="30"/>
    <n v="120"/>
    <s v="60+"/>
    <x v="40"/>
    <n v="2023"/>
    <s v="T1-2023"/>
  </r>
  <r>
    <n v="302"/>
    <d v="2023-07-14T00:00:00"/>
    <x v="301"/>
    <x v="0"/>
    <x v="35"/>
    <x v="0"/>
    <n v="2"/>
    <n v="300"/>
    <n v="600"/>
    <s v="60+"/>
    <x v="35"/>
    <n v="2023"/>
    <s v="T3-2023"/>
  </r>
  <r>
    <n v="303"/>
    <d v="2023-01-02T00:00:00"/>
    <x v="302"/>
    <x v="0"/>
    <x v="14"/>
    <x v="2"/>
    <n v="3"/>
    <n v="30"/>
    <n v="90"/>
    <s v="60+"/>
    <x v="14"/>
    <n v="2023"/>
    <s v="T1-2023"/>
  </r>
  <r>
    <n v="304"/>
    <d v="2023-07-19T00:00:00"/>
    <x v="303"/>
    <x v="1"/>
    <x v="3"/>
    <x v="2"/>
    <n v="2"/>
    <n v="30"/>
    <n v="60"/>
    <s v="60+"/>
    <x v="45"/>
    <n v="2023"/>
    <s v="T3-2023"/>
  </r>
  <r>
    <n v="305"/>
    <d v="2023-05-16T00:00:00"/>
    <x v="304"/>
    <x v="1"/>
    <x v="18"/>
    <x v="0"/>
    <n v="1"/>
    <n v="30"/>
    <n v="30"/>
    <s v="60+"/>
    <x v="27"/>
    <n v="2023"/>
    <s v="T2-2023"/>
  </r>
  <r>
    <n v="306"/>
    <d v="2023-08-21T00:00:00"/>
    <x v="305"/>
    <x v="0"/>
    <x v="31"/>
    <x v="2"/>
    <n v="1"/>
    <n v="50"/>
    <n v="50"/>
    <s v="60+"/>
    <x v="48"/>
    <n v="2023"/>
    <s v="T3-2023"/>
  </r>
  <r>
    <n v="307"/>
    <d v="2023-05-27T00:00:00"/>
    <x v="306"/>
    <x v="1"/>
    <x v="1"/>
    <x v="2"/>
    <n v="2"/>
    <n v="25"/>
    <n v="50"/>
    <s v="60+"/>
    <x v="4"/>
    <n v="2023"/>
    <s v="T2-2023"/>
  </r>
  <r>
    <n v="308"/>
    <d v="2023-08-05T00:00:00"/>
    <x v="307"/>
    <x v="1"/>
    <x v="0"/>
    <x v="0"/>
    <n v="4"/>
    <n v="300"/>
    <n v="1200"/>
    <s v="60+"/>
    <x v="12"/>
    <n v="2023"/>
    <s v="T3-2023"/>
  </r>
  <r>
    <n v="309"/>
    <d v="2023-12-23T00:00:00"/>
    <x v="308"/>
    <x v="1"/>
    <x v="1"/>
    <x v="0"/>
    <n v="1"/>
    <n v="25"/>
    <n v="25"/>
    <s v="60+"/>
    <x v="52"/>
    <n v="2023"/>
    <s v="T4-2023"/>
  </r>
  <r>
    <n v="310"/>
    <d v="2023-10-12T00:00:00"/>
    <x v="309"/>
    <x v="1"/>
    <x v="20"/>
    <x v="0"/>
    <n v="1"/>
    <n v="25"/>
    <n v="25"/>
    <s v="60+"/>
    <x v="66"/>
    <n v="2023"/>
    <s v="T4-2023"/>
  </r>
  <r>
    <n v="311"/>
    <d v="2023-12-05T00:00:00"/>
    <x v="310"/>
    <x v="1"/>
    <x v="40"/>
    <x v="0"/>
    <n v="4"/>
    <n v="25"/>
    <n v="100"/>
    <s v="60+"/>
    <x v="24"/>
    <n v="2023"/>
    <s v="T4-2023"/>
  </r>
  <r>
    <n v="312"/>
    <d v="2023-09-07T00:00:00"/>
    <x v="311"/>
    <x v="0"/>
    <x v="41"/>
    <x v="1"/>
    <n v="4"/>
    <n v="30"/>
    <n v="120"/>
    <s v="60+"/>
    <x v="72"/>
    <n v="2023"/>
    <s v="T3-2023"/>
  </r>
  <r>
    <n v="313"/>
    <d v="2023-03-21T00:00:00"/>
    <x v="312"/>
    <x v="1"/>
    <x v="28"/>
    <x v="0"/>
    <n v="3"/>
    <n v="500"/>
    <n v="1500"/>
    <s v="60+"/>
    <x v="32"/>
    <n v="2023"/>
    <s v="T1-2023"/>
  </r>
  <r>
    <n v="314"/>
    <d v="2023-04-08T00:00:00"/>
    <x v="313"/>
    <x v="0"/>
    <x v="8"/>
    <x v="1"/>
    <n v="4"/>
    <n v="30"/>
    <n v="120"/>
    <s v="60+"/>
    <x v="16"/>
    <n v="2023"/>
    <s v="T2-2023"/>
  </r>
  <r>
    <n v="315"/>
    <d v="2023-06-01T00:00:00"/>
    <x v="314"/>
    <x v="0"/>
    <x v="16"/>
    <x v="1"/>
    <n v="2"/>
    <n v="30"/>
    <n v="60"/>
    <s v="60+"/>
    <x v="34"/>
    <n v="2023"/>
    <s v="T2-2023"/>
  </r>
  <r>
    <n v="316"/>
    <d v="2023-04-22T00:00:00"/>
    <x v="315"/>
    <x v="1"/>
    <x v="27"/>
    <x v="1"/>
    <n v="2"/>
    <n v="25"/>
    <n v="50"/>
    <s v="60+"/>
    <x v="16"/>
    <n v="2023"/>
    <s v="T2-2023"/>
  </r>
  <r>
    <n v="317"/>
    <d v="2023-01-30T00:00:00"/>
    <x v="316"/>
    <x v="0"/>
    <x v="11"/>
    <x v="2"/>
    <n v="3"/>
    <n v="30"/>
    <n v="90"/>
    <s v="60+"/>
    <x v="14"/>
    <n v="2023"/>
    <s v="T1-2023"/>
  </r>
  <r>
    <n v="318"/>
    <d v="2023-10-24T00:00:00"/>
    <x v="317"/>
    <x v="0"/>
    <x v="39"/>
    <x v="1"/>
    <n v="1"/>
    <n v="25"/>
    <n v="25"/>
    <s v="60+"/>
    <x v="42"/>
    <n v="2023"/>
    <s v="T4-2023"/>
  </r>
  <r>
    <n v="319"/>
    <d v="2023-10-05T00:00:00"/>
    <x v="318"/>
    <x v="0"/>
    <x v="33"/>
    <x v="1"/>
    <n v="1"/>
    <n v="500"/>
    <n v="500"/>
    <s v="60+"/>
    <x v="66"/>
    <n v="2023"/>
    <s v="T4-2023"/>
  </r>
  <r>
    <n v="320"/>
    <d v="2023-02-01T00:00:00"/>
    <x v="319"/>
    <x v="1"/>
    <x v="20"/>
    <x v="2"/>
    <n v="4"/>
    <n v="300"/>
    <n v="1200"/>
    <s v="60+"/>
    <x v="7"/>
    <n v="2023"/>
    <s v="T1-2023"/>
  </r>
  <r>
    <n v="321"/>
    <d v="2023-06-10T00:00:00"/>
    <x v="320"/>
    <x v="1"/>
    <x v="1"/>
    <x v="2"/>
    <n v="2"/>
    <n v="25"/>
    <n v="50"/>
    <s v="60+"/>
    <x v="31"/>
    <n v="2023"/>
    <s v="T2-2023"/>
  </r>
  <r>
    <n v="322"/>
    <d v="2023-01-30T00:00:00"/>
    <x v="321"/>
    <x v="0"/>
    <x v="25"/>
    <x v="2"/>
    <n v="1"/>
    <n v="500"/>
    <n v="500"/>
    <s v="60+"/>
    <x v="14"/>
    <n v="2023"/>
    <s v="T1-2023"/>
  </r>
  <r>
    <n v="323"/>
    <d v="2023-01-26T00:00:00"/>
    <x v="322"/>
    <x v="1"/>
    <x v="38"/>
    <x v="0"/>
    <n v="3"/>
    <n v="300"/>
    <n v="900"/>
    <s v="60+"/>
    <x v="79"/>
    <n v="2023"/>
    <s v="T1-2023"/>
  </r>
  <r>
    <n v="324"/>
    <d v="2023-10-27T00:00:00"/>
    <x v="323"/>
    <x v="1"/>
    <x v="8"/>
    <x v="2"/>
    <n v="3"/>
    <n v="50"/>
    <n v="150"/>
    <s v="60+"/>
    <x v="56"/>
    <n v="2023"/>
    <s v="T4-2023"/>
  </r>
  <r>
    <n v="325"/>
    <d v="2023-09-02T00:00:00"/>
    <x v="324"/>
    <x v="1"/>
    <x v="8"/>
    <x v="2"/>
    <n v="2"/>
    <n v="25"/>
    <n v="50"/>
    <s v="60+"/>
    <x v="18"/>
    <n v="2023"/>
    <s v="T3-2023"/>
  </r>
  <r>
    <n v="326"/>
    <d v="2023-09-15T00:00:00"/>
    <x v="325"/>
    <x v="1"/>
    <x v="18"/>
    <x v="1"/>
    <n v="3"/>
    <n v="25"/>
    <n v="75"/>
    <s v="60+"/>
    <x v="74"/>
    <n v="2023"/>
    <s v="T3-2023"/>
  </r>
  <r>
    <n v="327"/>
    <d v="2023-09-29T00:00:00"/>
    <x v="326"/>
    <x v="0"/>
    <x v="35"/>
    <x v="2"/>
    <n v="3"/>
    <n v="50"/>
    <n v="150"/>
    <s v="60+"/>
    <x v="74"/>
    <n v="2023"/>
    <s v="T3-2023"/>
  </r>
  <r>
    <n v="328"/>
    <d v="2023-03-22T00:00:00"/>
    <x v="327"/>
    <x v="0"/>
    <x v="23"/>
    <x v="0"/>
    <n v="2"/>
    <n v="50"/>
    <n v="100"/>
    <s v="60+"/>
    <x v="54"/>
    <n v="2023"/>
    <s v="T1-2023"/>
  </r>
  <r>
    <n v="329"/>
    <d v="2023-01-30T00:00:00"/>
    <x v="328"/>
    <x v="1"/>
    <x v="6"/>
    <x v="2"/>
    <n v="4"/>
    <n v="25"/>
    <n v="100"/>
    <s v="60+"/>
    <x v="14"/>
    <n v="2023"/>
    <s v="T1-2023"/>
  </r>
  <r>
    <n v="330"/>
    <d v="2023-09-18T00:00:00"/>
    <x v="329"/>
    <x v="1"/>
    <x v="36"/>
    <x v="0"/>
    <n v="4"/>
    <n v="50"/>
    <n v="200"/>
    <s v="60+"/>
    <x v="67"/>
    <n v="2023"/>
    <s v="T3-2023"/>
  </r>
  <r>
    <n v="331"/>
    <d v="2023-02-11T00:00:00"/>
    <x v="330"/>
    <x v="0"/>
    <x v="20"/>
    <x v="2"/>
    <n v="3"/>
    <n v="30"/>
    <n v="90"/>
    <s v="60+"/>
    <x v="78"/>
    <n v="2023"/>
    <s v="T1-2023"/>
  </r>
  <r>
    <n v="332"/>
    <d v="2023-04-06T00:00:00"/>
    <x v="331"/>
    <x v="0"/>
    <x v="26"/>
    <x v="2"/>
    <n v="4"/>
    <n v="300"/>
    <n v="1200"/>
    <s v="60+"/>
    <x v="46"/>
    <n v="2023"/>
    <s v="T2-2023"/>
  </r>
  <r>
    <n v="333"/>
    <d v="2023-02-05T00:00:00"/>
    <x v="332"/>
    <x v="1"/>
    <x v="31"/>
    <x v="2"/>
    <n v="4"/>
    <n v="300"/>
    <n v="1200"/>
    <s v="60+"/>
    <x v="36"/>
    <n v="2023"/>
    <s v="T1-2023"/>
  </r>
  <r>
    <n v="334"/>
    <d v="2023-11-01T00:00:00"/>
    <x v="333"/>
    <x v="0"/>
    <x v="33"/>
    <x v="2"/>
    <n v="3"/>
    <n v="300"/>
    <n v="900"/>
    <s v="60+"/>
    <x v="23"/>
    <n v="2023"/>
    <s v="T4-2023"/>
  </r>
  <r>
    <n v="335"/>
    <d v="2023-02-04T00:00:00"/>
    <x v="334"/>
    <x v="1"/>
    <x v="16"/>
    <x v="0"/>
    <n v="4"/>
    <n v="30"/>
    <n v="120"/>
    <s v="60+"/>
    <x v="78"/>
    <n v="2023"/>
    <s v="T1-2023"/>
  </r>
  <r>
    <n v="336"/>
    <d v="2023-12-12T00:00:00"/>
    <x v="335"/>
    <x v="1"/>
    <x v="8"/>
    <x v="0"/>
    <n v="3"/>
    <n v="50"/>
    <n v="150"/>
    <s v="60+"/>
    <x v="24"/>
    <n v="2023"/>
    <s v="T4-2023"/>
  </r>
  <r>
    <n v="337"/>
    <d v="2023-05-01T00:00:00"/>
    <x v="336"/>
    <x v="0"/>
    <x v="21"/>
    <x v="1"/>
    <n v="1"/>
    <n v="500"/>
    <n v="500"/>
    <s v="60+"/>
    <x v="47"/>
    <n v="2023"/>
    <s v="T2-2023"/>
  </r>
  <r>
    <n v="338"/>
    <d v="2023-07-26T00:00:00"/>
    <x v="337"/>
    <x v="0"/>
    <x v="31"/>
    <x v="0"/>
    <n v="2"/>
    <n v="50"/>
    <n v="100"/>
    <s v="60+"/>
    <x v="45"/>
    <n v="2023"/>
    <s v="T3-2023"/>
  </r>
  <r>
    <n v="339"/>
    <d v="2023-03-03T00:00:00"/>
    <x v="338"/>
    <x v="1"/>
    <x v="11"/>
    <x v="2"/>
    <n v="2"/>
    <n v="25"/>
    <n v="50"/>
    <s v="60+"/>
    <x v="73"/>
    <n v="2023"/>
    <s v="T1-2023"/>
  </r>
  <r>
    <n v="340"/>
    <d v="2023-10-19T00:00:00"/>
    <x v="339"/>
    <x v="1"/>
    <x v="32"/>
    <x v="1"/>
    <n v="4"/>
    <n v="300"/>
    <n v="1200"/>
    <s v="60+"/>
    <x v="66"/>
    <n v="2023"/>
    <s v="T4-2023"/>
  </r>
  <r>
    <n v="341"/>
    <d v="2023-05-07T00:00:00"/>
    <x v="340"/>
    <x v="0"/>
    <x v="33"/>
    <x v="1"/>
    <n v="4"/>
    <n v="50"/>
    <n v="200"/>
    <s v="60+"/>
    <x v="3"/>
    <n v="2023"/>
    <s v="T2-2023"/>
  </r>
  <r>
    <n v="342"/>
    <d v="2023-10-24T00:00:00"/>
    <x v="341"/>
    <x v="1"/>
    <x v="22"/>
    <x v="1"/>
    <n v="4"/>
    <n v="500"/>
    <n v="2000"/>
    <s v="60+"/>
    <x v="42"/>
    <n v="2023"/>
    <s v="T4-2023"/>
  </r>
  <r>
    <n v="343"/>
    <d v="2023-11-01T00:00:00"/>
    <x v="342"/>
    <x v="0"/>
    <x v="34"/>
    <x v="2"/>
    <n v="2"/>
    <n v="25"/>
    <n v="50"/>
    <s v="60+"/>
    <x v="23"/>
    <n v="2023"/>
    <s v="T4-2023"/>
  </r>
  <r>
    <n v="344"/>
    <d v="2023-01-21T00:00:00"/>
    <x v="343"/>
    <x v="1"/>
    <x v="13"/>
    <x v="0"/>
    <n v="1"/>
    <n v="30"/>
    <n v="30"/>
    <s v="60+"/>
    <x v="20"/>
    <n v="2023"/>
    <s v="T1-2023"/>
  </r>
  <r>
    <n v="345"/>
    <d v="2023-11-14T00:00:00"/>
    <x v="344"/>
    <x v="0"/>
    <x v="17"/>
    <x v="2"/>
    <n v="1"/>
    <n v="30"/>
    <n v="30"/>
    <s v="60+"/>
    <x v="53"/>
    <n v="2023"/>
    <s v="T4-2023"/>
  </r>
  <r>
    <n v="346"/>
    <d v="2023-02-11T00:00:00"/>
    <x v="345"/>
    <x v="0"/>
    <x v="42"/>
    <x v="1"/>
    <n v="2"/>
    <n v="500"/>
    <n v="1000"/>
    <s v="60+"/>
    <x v="78"/>
    <n v="2023"/>
    <s v="T1-2023"/>
  </r>
  <r>
    <n v="347"/>
    <d v="2023-08-03T00:00:00"/>
    <x v="346"/>
    <x v="0"/>
    <x v="13"/>
    <x v="2"/>
    <n v="1"/>
    <n v="25"/>
    <n v="25"/>
    <s v="60+"/>
    <x v="25"/>
    <n v="2023"/>
    <s v="T3-2023"/>
  </r>
  <r>
    <n v="348"/>
    <d v="2023-12-03T00:00:00"/>
    <x v="347"/>
    <x v="1"/>
    <x v="10"/>
    <x v="2"/>
    <n v="2"/>
    <n v="300"/>
    <n v="600"/>
    <s v="60+"/>
    <x v="30"/>
    <n v="2023"/>
    <s v="T4-2023"/>
  </r>
  <r>
    <n v="349"/>
    <d v="2023-10-26T00:00:00"/>
    <x v="348"/>
    <x v="1"/>
    <x v="35"/>
    <x v="0"/>
    <n v="1"/>
    <n v="50"/>
    <n v="50"/>
    <s v="60+"/>
    <x v="66"/>
    <n v="2023"/>
    <s v="T4-2023"/>
  </r>
  <r>
    <n v="350"/>
    <d v="2023-10-17T00:00:00"/>
    <x v="349"/>
    <x v="0"/>
    <x v="36"/>
    <x v="0"/>
    <n v="3"/>
    <n v="25"/>
    <n v="75"/>
    <s v="60+"/>
    <x v="42"/>
    <n v="2023"/>
    <s v="T4-2023"/>
  </r>
  <r>
    <n v="351"/>
    <d v="2023-09-25T00:00:00"/>
    <x v="350"/>
    <x v="1"/>
    <x v="37"/>
    <x v="1"/>
    <n v="3"/>
    <n v="30"/>
    <n v="90"/>
    <s v="60+"/>
    <x v="67"/>
    <n v="2023"/>
    <s v="T3-2023"/>
  </r>
  <r>
    <n v="352"/>
    <d v="2023-06-11T00:00:00"/>
    <x v="351"/>
    <x v="0"/>
    <x v="35"/>
    <x v="2"/>
    <n v="2"/>
    <n v="500"/>
    <n v="1000"/>
    <s v="60+"/>
    <x v="59"/>
    <n v="2023"/>
    <s v="T2-2023"/>
  </r>
  <r>
    <n v="353"/>
    <d v="2023-05-14T00:00:00"/>
    <x v="352"/>
    <x v="0"/>
    <x v="33"/>
    <x v="2"/>
    <n v="1"/>
    <n v="500"/>
    <n v="500"/>
    <s v="60+"/>
    <x v="3"/>
    <n v="2023"/>
    <s v="T2-2023"/>
  </r>
  <r>
    <n v="354"/>
    <d v="2023-04-15T00:00:00"/>
    <x v="353"/>
    <x v="1"/>
    <x v="19"/>
    <x v="0"/>
    <n v="4"/>
    <n v="50"/>
    <n v="200"/>
    <s v="60+"/>
    <x v="16"/>
    <n v="2023"/>
    <s v="T2-2023"/>
  </r>
  <r>
    <n v="355"/>
    <d v="2023-12-09T00:00:00"/>
    <x v="354"/>
    <x v="1"/>
    <x v="28"/>
    <x v="2"/>
    <n v="1"/>
    <n v="500"/>
    <n v="500"/>
    <s v="60+"/>
    <x v="52"/>
    <n v="2023"/>
    <s v="T4-2023"/>
  </r>
  <r>
    <n v="356"/>
    <d v="2023-06-10T00:00:00"/>
    <x v="355"/>
    <x v="0"/>
    <x v="2"/>
    <x v="2"/>
    <n v="3"/>
    <n v="500"/>
    <n v="1500"/>
    <s v="60+"/>
    <x v="31"/>
    <n v="2023"/>
    <s v="T2-2023"/>
  </r>
  <r>
    <n v="357"/>
    <d v="2023-05-03T00:00:00"/>
    <x v="356"/>
    <x v="1"/>
    <x v="30"/>
    <x v="2"/>
    <n v="3"/>
    <n v="25"/>
    <n v="75"/>
    <s v="60+"/>
    <x v="43"/>
    <n v="2023"/>
    <s v="T2-2023"/>
  </r>
  <r>
    <n v="358"/>
    <d v="2023-05-16T00:00:00"/>
    <x v="357"/>
    <x v="1"/>
    <x v="40"/>
    <x v="0"/>
    <n v="1"/>
    <n v="300"/>
    <n v="300"/>
    <s v="60+"/>
    <x v="27"/>
    <n v="2023"/>
    <s v="T2-2023"/>
  </r>
  <r>
    <n v="359"/>
    <d v="2023-07-22T00:00:00"/>
    <x v="358"/>
    <x v="0"/>
    <x v="2"/>
    <x v="1"/>
    <n v="1"/>
    <n v="50"/>
    <n v="50"/>
    <s v="60+"/>
    <x v="51"/>
    <n v="2023"/>
    <s v="T3-2023"/>
  </r>
  <r>
    <n v="360"/>
    <d v="2023-03-09T00:00:00"/>
    <x v="359"/>
    <x v="0"/>
    <x v="13"/>
    <x v="1"/>
    <n v="4"/>
    <n v="25"/>
    <n v="100"/>
    <s v="60+"/>
    <x v="29"/>
    <n v="2023"/>
    <s v="T1-2023"/>
  </r>
  <r>
    <n v="361"/>
    <d v="2023-12-10T00:00:00"/>
    <x v="360"/>
    <x v="1"/>
    <x v="0"/>
    <x v="2"/>
    <n v="4"/>
    <n v="300"/>
    <n v="1200"/>
    <s v="60+"/>
    <x v="30"/>
    <n v="2023"/>
    <s v="T4-2023"/>
  </r>
  <r>
    <n v="362"/>
    <d v="2023-11-27T00:00:00"/>
    <x v="361"/>
    <x v="0"/>
    <x v="2"/>
    <x v="1"/>
    <n v="1"/>
    <n v="25"/>
    <n v="25"/>
    <s v="60+"/>
    <x v="39"/>
    <n v="2023"/>
    <s v="T4-2023"/>
  </r>
  <r>
    <n v="363"/>
    <d v="2023-06-03T00:00:00"/>
    <x v="362"/>
    <x v="0"/>
    <x v="12"/>
    <x v="0"/>
    <n v="1"/>
    <n v="25"/>
    <n v="25"/>
    <s v="60+"/>
    <x v="31"/>
    <n v="2023"/>
    <s v="T2-2023"/>
  </r>
  <r>
    <n v="364"/>
    <d v="2023-08-23T00:00:00"/>
    <x v="363"/>
    <x v="1"/>
    <x v="14"/>
    <x v="0"/>
    <n v="1"/>
    <n v="500"/>
    <n v="500"/>
    <s v="60+"/>
    <x v="64"/>
    <n v="2023"/>
    <s v="T3-2023"/>
  </r>
  <r>
    <n v="365"/>
    <d v="2023-06-11T00:00:00"/>
    <x v="364"/>
    <x v="0"/>
    <x v="33"/>
    <x v="1"/>
    <n v="1"/>
    <n v="300"/>
    <n v="300"/>
    <s v="60+"/>
    <x v="59"/>
    <n v="2023"/>
    <s v="T2-2023"/>
  </r>
  <r>
    <n v="366"/>
    <d v="2023-02-07T00:00:00"/>
    <x v="365"/>
    <x v="0"/>
    <x v="35"/>
    <x v="1"/>
    <n v="2"/>
    <n v="50"/>
    <n v="100"/>
    <s v="60+"/>
    <x v="10"/>
    <n v="2023"/>
    <s v="T1-2023"/>
  </r>
  <r>
    <n v="367"/>
    <d v="2023-01-05T00:00:00"/>
    <x v="366"/>
    <x v="1"/>
    <x v="35"/>
    <x v="2"/>
    <n v="1"/>
    <n v="50"/>
    <n v="50"/>
    <s v="60+"/>
    <x v="79"/>
    <n v="2023"/>
    <s v="T1-2023"/>
  </r>
  <r>
    <n v="368"/>
    <d v="2023-08-23T00:00:00"/>
    <x v="367"/>
    <x v="1"/>
    <x v="37"/>
    <x v="1"/>
    <n v="4"/>
    <n v="300"/>
    <n v="1200"/>
    <s v="60+"/>
    <x v="64"/>
    <n v="2023"/>
    <s v="T3-2023"/>
  </r>
  <r>
    <n v="369"/>
    <d v="2023-11-15T00:00:00"/>
    <x v="368"/>
    <x v="0"/>
    <x v="9"/>
    <x v="2"/>
    <n v="3"/>
    <n v="500"/>
    <n v="1500"/>
    <s v="60+"/>
    <x v="23"/>
    <n v="2023"/>
    <s v="T4-2023"/>
  </r>
  <r>
    <n v="370"/>
    <d v="2023-10-16T00:00:00"/>
    <x v="369"/>
    <x v="0"/>
    <x v="9"/>
    <x v="2"/>
    <n v="2"/>
    <n v="30"/>
    <n v="60"/>
    <s v="60+"/>
    <x v="11"/>
    <n v="2023"/>
    <s v="T4-2023"/>
  </r>
  <r>
    <n v="371"/>
    <d v="2023-02-21T00:00:00"/>
    <x v="370"/>
    <x v="1"/>
    <x v="29"/>
    <x v="0"/>
    <n v="1"/>
    <n v="25"/>
    <n v="25"/>
    <s v="60+"/>
    <x v="10"/>
    <n v="2023"/>
    <s v="T1-2023"/>
  </r>
  <r>
    <n v="372"/>
    <d v="2023-02-07T00:00:00"/>
    <x v="371"/>
    <x v="1"/>
    <x v="46"/>
    <x v="0"/>
    <n v="3"/>
    <n v="500"/>
    <n v="1500"/>
    <s v="60+"/>
    <x v="10"/>
    <n v="2023"/>
    <s v="T1-2023"/>
  </r>
  <r>
    <n v="373"/>
    <d v="2023-10-03T00:00:00"/>
    <x v="372"/>
    <x v="1"/>
    <x v="36"/>
    <x v="0"/>
    <n v="2"/>
    <n v="300"/>
    <n v="600"/>
    <s v="60+"/>
    <x v="42"/>
    <n v="2023"/>
    <s v="T4-2023"/>
  </r>
  <r>
    <n v="374"/>
    <d v="2023-04-20T00:00:00"/>
    <x v="373"/>
    <x v="1"/>
    <x v="42"/>
    <x v="0"/>
    <n v="3"/>
    <n v="25"/>
    <n v="75"/>
    <s v="60+"/>
    <x v="46"/>
    <n v="2023"/>
    <s v="T2-2023"/>
  </r>
  <r>
    <n v="375"/>
    <d v="2023-09-17T00:00:00"/>
    <x v="374"/>
    <x v="0"/>
    <x v="40"/>
    <x v="1"/>
    <n v="1"/>
    <n v="50"/>
    <n v="50"/>
    <s v="60+"/>
    <x v="68"/>
    <n v="2023"/>
    <s v="T3-2023"/>
  </r>
  <r>
    <n v="376"/>
    <d v="2023-05-16T00:00:00"/>
    <x v="375"/>
    <x v="1"/>
    <x v="12"/>
    <x v="0"/>
    <n v="1"/>
    <n v="30"/>
    <n v="30"/>
    <s v="60+"/>
    <x v="27"/>
    <n v="2023"/>
    <s v="T2-2023"/>
  </r>
  <r>
    <n v="377"/>
    <d v="2023-03-09T00:00:00"/>
    <x v="376"/>
    <x v="1"/>
    <x v="6"/>
    <x v="1"/>
    <n v="4"/>
    <n v="50"/>
    <n v="200"/>
    <s v="60+"/>
    <x v="29"/>
    <n v="2023"/>
    <s v="T1-2023"/>
  </r>
  <r>
    <n v="378"/>
    <d v="2023-06-28T00:00:00"/>
    <x v="377"/>
    <x v="0"/>
    <x v="2"/>
    <x v="0"/>
    <n v="1"/>
    <n v="300"/>
    <n v="300"/>
    <s v="60+"/>
    <x v="75"/>
    <n v="2023"/>
    <s v="T2-2023"/>
  </r>
  <r>
    <n v="379"/>
    <d v="2023-02-05T00:00:00"/>
    <x v="378"/>
    <x v="1"/>
    <x v="16"/>
    <x v="1"/>
    <n v="1"/>
    <n v="25"/>
    <n v="25"/>
    <s v="60+"/>
    <x v="36"/>
    <n v="2023"/>
    <s v="T1-2023"/>
  </r>
  <r>
    <n v="380"/>
    <d v="2023-05-06T00:00:00"/>
    <x v="379"/>
    <x v="0"/>
    <x v="37"/>
    <x v="2"/>
    <n v="2"/>
    <n v="300"/>
    <n v="600"/>
    <s v="60+"/>
    <x v="4"/>
    <n v="2023"/>
    <s v="T2-2023"/>
  </r>
  <r>
    <n v="381"/>
    <d v="2023-07-09T00:00:00"/>
    <x v="380"/>
    <x v="1"/>
    <x v="24"/>
    <x v="1"/>
    <n v="4"/>
    <n v="25"/>
    <n v="100"/>
    <s v="60+"/>
    <x v="50"/>
    <n v="2023"/>
    <s v="T3-2023"/>
  </r>
  <r>
    <n v="382"/>
    <d v="2023-05-26T00:00:00"/>
    <x v="381"/>
    <x v="1"/>
    <x v="45"/>
    <x v="1"/>
    <n v="2"/>
    <n v="500"/>
    <n v="1000"/>
    <s v="60+"/>
    <x v="55"/>
    <n v="2023"/>
    <s v="T2-2023"/>
  </r>
  <r>
    <n v="383"/>
    <d v="2023-03-22T00:00:00"/>
    <x v="382"/>
    <x v="1"/>
    <x v="6"/>
    <x v="0"/>
    <n v="3"/>
    <n v="30"/>
    <n v="90"/>
    <s v="60+"/>
    <x v="54"/>
    <n v="2023"/>
    <s v="T1-2023"/>
  </r>
  <r>
    <n v="384"/>
    <d v="2023-08-13T00:00:00"/>
    <x v="383"/>
    <x v="0"/>
    <x v="28"/>
    <x v="1"/>
    <n v="1"/>
    <n v="500"/>
    <n v="500"/>
    <s v="60+"/>
    <x v="77"/>
    <n v="2023"/>
    <s v="T3-2023"/>
  </r>
  <r>
    <n v="385"/>
    <d v="2023-10-06T00:00:00"/>
    <x v="384"/>
    <x v="0"/>
    <x v="2"/>
    <x v="2"/>
    <n v="3"/>
    <n v="500"/>
    <n v="1500"/>
    <s v="60+"/>
    <x v="56"/>
    <n v="2023"/>
    <s v="T4-2023"/>
  </r>
  <r>
    <n v="386"/>
    <d v="2023-12-27T00:00:00"/>
    <x v="385"/>
    <x v="1"/>
    <x v="31"/>
    <x v="2"/>
    <n v="2"/>
    <n v="300"/>
    <n v="600"/>
    <s v="60+"/>
    <x v="8"/>
    <n v="2023"/>
    <s v="T4-2023"/>
  </r>
  <r>
    <n v="387"/>
    <d v="2023-06-04T00:00:00"/>
    <x v="386"/>
    <x v="0"/>
    <x v="24"/>
    <x v="0"/>
    <n v="1"/>
    <n v="30"/>
    <n v="30"/>
    <s v="60+"/>
    <x v="59"/>
    <n v="2023"/>
    <s v="T2-2023"/>
  </r>
  <r>
    <n v="388"/>
    <d v="2023-11-10T00:00:00"/>
    <x v="387"/>
    <x v="0"/>
    <x v="2"/>
    <x v="2"/>
    <n v="1"/>
    <n v="25"/>
    <n v="25"/>
    <s v="60+"/>
    <x v="0"/>
    <n v="2023"/>
    <s v="T4-2023"/>
  </r>
  <r>
    <n v="389"/>
    <d v="2023-12-01T00:00:00"/>
    <x v="388"/>
    <x v="0"/>
    <x v="34"/>
    <x v="1"/>
    <n v="2"/>
    <n v="25"/>
    <n v="50"/>
    <s v="60+"/>
    <x v="70"/>
    <n v="2023"/>
    <s v="T4-2023"/>
  </r>
  <r>
    <n v="390"/>
    <d v="2023-09-28T00:00:00"/>
    <x v="389"/>
    <x v="0"/>
    <x v="23"/>
    <x v="2"/>
    <n v="2"/>
    <n v="50"/>
    <n v="100"/>
    <s v="60+"/>
    <x v="72"/>
    <n v="2023"/>
    <s v="T3-2023"/>
  </r>
  <r>
    <n v="391"/>
    <d v="2023-01-05T00:00:00"/>
    <x v="390"/>
    <x v="0"/>
    <x v="14"/>
    <x v="0"/>
    <n v="2"/>
    <n v="25"/>
    <n v="50"/>
    <s v="60+"/>
    <x v="79"/>
    <n v="2023"/>
    <s v="T1-2023"/>
  </r>
  <r>
    <n v="392"/>
    <d v="2023-12-08T00:00:00"/>
    <x v="391"/>
    <x v="0"/>
    <x v="15"/>
    <x v="1"/>
    <n v="2"/>
    <n v="300"/>
    <n v="600"/>
    <s v="60+"/>
    <x v="70"/>
    <n v="2023"/>
    <s v="T4-2023"/>
  </r>
  <r>
    <n v="393"/>
    <d v="2023-10-11T00:00:00"/>
    <x v="392"/>
    <x v="1"/>
    <x v="11"/>
    <x v="0"/>
    <n v="2"/>
    <n v="500"/>
    <n v="1000"/>
    <s v="60+"/>
    <x v="62"/>
    <n v="2023"/>
    <s v="T4-2023"/>
  </r>
  <r>
    <n v="394"/>
    <d v="2023-06-03T00:00:00"/>
    <x v="393"/>
    <x v="1"/>
    <x v="15"/>
    <x v="1"/>
    <n v="1"/>
    <n v="500"/>
    <n v="500"/>
    <s v="60+"/>
    <x v="31"/>
    <n v="2023"/>
    <s v="T2-2023"/>
  </r>
  <r>
    <n v="395"/>
    <d v="2023-12-06T00:00:00"/>
    <x v="394"/>
    <x v="0"/>
    <x v="2"/>
    <x v="2"/>
    <n v="2"/>
    <n v="500"/>
    <n v="1000"/>
    <s v="60+"/>
    <x v="8"/>
    <n v="2023"/>
    <s v="T4-2023"/>
  </r>
  <r>
    <n v="396"/>
    <d v="2023-02-23T00:00:00"/>
    <x v="395"/>
    <x v="1"/>
    <x v="28"/>
    <x v="0"/>
    <n v="1"/>
    <n v="30"/>
    <n v="30"/>
    <s v="60+"/>
    <x v="69"/>
    <n v="2023"/>
    <s v="T1-2023"/>
  </r>
  <r>
    <n v="397"/>
    <d v="2023-03-10T00:00:00"/>
    <x v="396"/>
    <x v="1"/>
    <x v="4"/>
    <x v="0"/>
    <n v="1"/>
    <n v="25"/>
    <n v="25"/>
    <s v="60+"/>
    <x v="73"/>
    <n v="2023"/>
    <s v="T1-2023"/>
  </r>
  <r>
    <n v="398"/>
    <d v="2023-05-16T00:00:00"/>
    <x v="397"/>
    <x v="1"/>
    <x v="27"/>
    <x v="1"/>
    <n v="2"/>
    <n v="300"/>
    <n v="600"/>
    <s v="60+"/>
    <x v="27"/>
    <n v="2023"/>
    <s v="T2-2023"/>
  </r>
  <r>
    <n v="399"/>
    <d v="2023-03-01T00:00:00"/>
    <x v="398"/>
    <x v="1"/>
    <x v="12"/>
    <x v="0"/>
    <n v="2"/>
    <n v="30"/>
    <n v="60"/>
    <s v="60+"/>
    <x v="54"/>
    <n v="2023"/>
    <s v="T1-2023"/>
  </r>
  <r>
    <n v="400"/>
    <d v="2023-02-24T00:00:00"/>
    <x v="399"/>
    <x v="0"/>
    <x v="45"/>
    <x v="1"/>
    <n v="4"/>
    <n v="50"/>
    <n v="200"/>
    <s v="60+"/>
    <x v="15"/>
    <n v="2023"/>
    <s v="T1-2023"/>
  </r>
  <r>
    <n v="401"/>
    <d v="2023-10-11T00:00:00"/>
    <x v="400"/>
    <x v="1"/>
    <x v="17"/>
    <x v="1"/>
    <n v="1"/>
    <n v="300"/>
    <n v="300"/>
    <s v="60+"/>
    <x v="62"/>
    <n v="2023"/>
    <s v="T4-2023"/>
  </r>
  <r>
    <n v="402"/>
    <d v="2023-03-21T00:00:00"/>
    <x v="401"/>
    <x v="1"/>
    <x v="41"/>
    <x v="1"/>
    <n v="2"/>
    <n v="300"/>
    <n v="600"/>
    <s v="60+"/>
    <x v="32"/>
    <n v="2023"/>
    <s v="T1-2023"/>
  </r>
  <r>
    <n v="403"/>
    <d v="2023-05-20T00:00:00"/>
    <x v="402"/>
    <x v="0"/>
    <x v="40"/>
    <x v="1"/>
    <n v="2"/>
    <n v="300"/>
    <n v="600"/>
    <s v="60+"/>
    <x v="4"/>
    <n v="2023"/>
    <s v="T2-2023"/>
  </r>
  <r>
    <n v="404"/>
    <d v="2023-05-25T00:00:00"/>
    <x v="403"/>
    <x v="0"/>
    <x v="6"/>
    <x v="2"/>
    <n v="2"/>
    <n v="500"/>
    <n v="1000"/>
    <s v="60+"/>
    <x v="61"/>
    <n v="2023"/>
    <s v="T2-2023"/>
  </r>
  <r>
    <n v="405"/>
    <d v="2023-11-06T00:00:00"/>
    <x v="404"/>
    <x v="1"/>
    <x v="36"/>
    <x v="1"/>
    <n v="4"/>
    <n v="300"/>
    <n v="1200"/>
    <s v="60+"/>
    <x v="39"/>
    <n v="2023"/>
    <s v="T4-2023"/>
  </r>
  <r>
    <n v="406"/>
    <d v="2023-04-18T00:00:00"/>
    <x v="405"/>
    <x v="1"/>
    <x v="11"/>
    <x v="0"/>
    <n v="4"/>
    <n v="25"/>
    <n v="100"/>
    <s v="60+"/>
    <x v="5"/>
    <n v="2023"/>
    <s v="T2-2023"/>
  </r>
  <r>
    <n v="407"/>
    <d v="2023-06-25T00:00:00"/>
    <x v="406"/>
    <x v="1"/>
    <x v="6"/>
    <x v="2"/>
    <n v="3"/>
    <n v="300"/>
    <n v="900"/>
    <s v="60+"/>
    <x v="59"/>
    <n v="2023"/>
    <s v="T2-2023"/>
  </r>
  <r>
    <n v="408"/>
    <d v="2023-04-15T00:00:00"/>
    <x v="407"/>
    <x v="1"/>
    <x v="12"/>
    <x v="0"/>
    <n v="1"/>
    <n v="500"/>
    <n v="500"/>
    <s v="60+"/>
    <x v="16"/>
    <n v="2023"/>
    <s v="T2-2023"/>
  </r>
  <r>
    <n v="409"/>
    <d v="2023-12-18T00:00:00"/>
    <x v="408"/>
    <x v="1"/>
    <x v="34"/>
    <x v="2"/>
    <n v="3"/>
    <n v="300"/>
    <n v="900"/>
    <s v="60+"/>
    <x v="76"/>
    <n v="2023"/>
    <s v="T4-2023"/>
  </r>
  <r>
    <n v="410"/>
    <d v="2023-11-21T00:00:00"/>
    <x v="409"/>
    <x v="1"/>
    <x v="38"/>
    <x v="1"/>
    <n v="2"/>
    <n v="50"/>
    <n v="100"/>
    <s v="60+"/>
    <x v="53"/>
    <n v="2023"/>
    <s v="T4-2023"/>
  </r>
  <r>
    <n v="411"/>
    <d v="2023-05-16T00:00:00"/>
    <x v="410"/>
    <x v="0"/>
    <x v="17"/>
    <x v="2"/>
    <n v="4"/>
    <n v="50"/>
    <n v="200"/>
    <s v="60+"/>
    <x v="27"/>
    <n v="2023"/>
    <s v="T2-2023"/>
  </r>
  <r>
    <n v="412"/>
    <d v="2023-09-16T00:00:00"/>
    <x v="411"/>
    <x v="1"/>
    <x v="14"/>
    <x v="2"/>
    <n v="4"/>
    <n v="500"/>
    <n v="2000"/>
    <s v="60+"/>
    <x v="18"/>
    <n v="2023"/>
    <s v="T3-2023"/>
  </r>
  <r>
    <n v="413"/>
    <d v="2023-09-08T00:00:00"/>
    <x v="412"/>
    <x v="1"/>
    <x v="24"/>
    <x v="0"/>
    <n v="3"/>
    <n v="25"/>
    <n v="75"/>
    <s v="60+"/>
    <x v="74"/>
    <n v="2023"/>
    <s v="T3-2023"/>
  </r>
  <r>
    <n v="414"/>
    <d v="2023-05-09T00:00:00"/>
    <x v="413"/>
    <x v="0"/>
    <x v="27"/>
    <x v="0"/>
    <n v="4"/>
    <n v="25"/>
    <n v="100"/>
    <s v="60+"/>
    <x v="27"/>
    <n v="2023"/>
    <s v="T2-2023"/>
  </r>
  <r>
    <n v="415"/>
    <d v="2023-01-27T00:00:00"/>
    <x v="414"/>
    <x v="0"/>
    <x v="45"/>
    <x v="1"/>
    <n v="2"/>
    <n v="30"/>
    <n v="60"/>
    <s v="60+"/>
    <x v="2"/>
    <n v="2023"/>
    <s v="T1-2023"/>
  </r>
  <r>
    <n v="416"/>
    <d v="2023-02-17T00:00:00"/>
    <x v="415"/>
    <x v="0"/>
    <x v="45"/>
    <x v="2"/>
    <n v="4"/>
    <n v="500"/>
    <n v="2000"/>
    <s v="60+"/>
    <x v="15"/>
    <n v="2023"/>
    <s v="T1-2023"/>
  </r>
  <r>
    <n v="417"/>
    <d v="2023-11-21T00:00:00"/>
    <x v="416"/>
    <x v="0"/>
    <x v="22"/>
    <x v="2"/>
    <n v="3"/>
    <n v="300"/>
    <n v="900"/>
    <s v="60+"/>
    <x v="53"/>
    <n v="2023"/>
    <s v="T4-2023"/>
  </r>
  <r>
    <n v="418"/>
    <d v="2023-08-05T00:00:00"/>
    <x v="417"/>
    <x v="1"/>
    <x v="43"/>
    <x v="2"/>
    <n v="2"/>
    <n v="500"/>
    <n v="1000"/>
    <s v="60+"/>
    <x v="12"/>
    <n v="2023"/>
    <s v="T3-2023"/>
  </r>
  <r>
    <n v="419"/>
    <d v="2023-05-22T00:00:00"/>
    <x v="418"/>
    <x v="1"/>
    <x v="24"/>
    <x v="1"/>
    <n v="3"/>
    <n v="30"/>
    <n v="90"/>
    <s v="60+"/>
    <x v="47"/>
    <n v="2023"/>
    <s v="T2-2023"/>
  </r>
  <r>
    <n v="420"/>
    <d v="2023-01-23T00:00:00"/>
    <x v="419"/>
    <x v="1"/>
    <x v="11"/>
    <x v="1"/>
    <n v="4"/>
    <n v="500"/>
    <n v="2000"/>
    <s v="60+"/>
    <x v="14"/>
    <n v="2023"/>
    <s v="T1-2023"/>
  </r>
  <r>
    <n v="421"/>
    <d v="2023-01-02T00:00:00"/>
    <x v="420"/>
    <x v="1"/>
    <x v="3"/>
    <x v="1"/>
    <n v="3"/>
    <n v="500"/>
    <n v="1500"/>
    <s v="60+"/>
    <x v="14"/>
    <n v="2023"/>
    <s v="T1-2023"/>
  </r>
  <r>
    <n v="422"/>
    <d v="2023-06-20T00:00:00"/>
    <x v="421"/>
    <x v="1"/>
    <x v="20"/>
    <x v="1"/>
    <n v="3"/>
    <n v="30"/>
    <n v="90"/>
    <s v="60+"/>
    <x v="80"/>
    <n v="2023"/>
    <s v="T2-2023"/>
  </r>
  <r>
    <n v="423"/>
    <d v="2023-03-08T00:00:00"/>
    <x v="422"/>
    <x v="1"/>
    <x v="15"/>
    <x v="1"/>
    <n v="1"/>
    <n v="25"/>
    <n v="25"/>
    <s v="60+"/>
    <x v="54"/>
    <n v="2023"/>
    <s v="T1-2023"/>
  </r>
  <r>
    <n v="424"/>
    <d v="2023-11-23T00:00:00"/>
    <x v="423"/>
    <x v="0"/>
    <x v="35"/>
    <x v="0"/>
    <n v="4"/>
    <n v="300"/>
    <n v="1200"/>
    <s v="60+"/>
    <x v="71"/>
    <n v="2023"/>
    <s v="T4-2023"/>
  </r>
  <r>
    <n v="425"/>
    <d v="2023-05-15T00:00:00"/>
    <x v="424"/>
    <x v="1"/>
    <x v="28"/>
    <x v="2"/>
    <n v="4"/>
    <n v="30"/>
    <n v="120"/>
    <s v="60+"/>
    <x v="47"/>
    <n v="2023"/>
    <s v="T2-2023"/>
  </r>
  <r>
    <n v="426"/>
    <d v="2023-03-24T00:00:00"/>
    <x v="425"/>
    <x v="0"/>
    <x v="9"/>
    <x v="2"/>
    <n v="3"/>
    <n v="50"/>
    <n v="150"/>
    <s v="60+"/>
    <x v="73"/>
    <n v="2023"/>
    <s v="T1-2023"/>
  </r>
  <r>
    <n v="427"/>
    <d v="2023-08-15T00:00:00"/>
    <x v="426"/>
    <x v="0"/>
    <x v="36"/>
    <x v="2"/>
    <n v="1"/>
    <n v="25"/>
    <n v="25"/>
    <s v="60+"/>
    <x v="65"/>
    <n v="2023"/>
    <s v="T3-2023"/>
  </r>
  <r>
    <n v="428"/>
    <d v="2023-10-10T00:00:00"/>
    <x v="427"/>
    <x v="1"/>
    <x v="30"/>
    <x v="2"/>
    <n v="4"/>
    <n v="50"/>
    <n v="200"/>
    <s v="60+"/>
    <x v="42"/>
    <n v="2023"/>
    <s v="T4-2023"/>
  </r>
  <r>
    <n v="429"/>
    <d v="2023-12-28T00:00:00"/>
    <x v="428"/>
    <x v="0"/>
    <x v="12"/>
    <x v="2"/>
    <n v="2"/>
    <n v="25"/>
    <n v="50"/>
    <s v="60+"/>
    <x v="81"/>
    <n v="2023"/>
    <s v="T4-2023"/>
  </r>
  <r>
    <n v="430"/>
    <d v="2023-08-07T00:00:00"/>
    <x v="429"/>
    <x v="1"/>
    <x v="22"/>
    <x v="2"/>
    <n v="3"/>
    <n v="300"/>
    <n v="900"/>
    <s v="60+"/>
    <x v="48"/>
    <n v="2023"/>
    <s v="T3-2023"/>
  </r>
  <r>
    <n v="431"/>
    <d v="2023-10-15T00:00:00"/>
    <x v="430"/>
    <x v="0"/>
    <x v="7"/>
    <x v="2"/>
    <n v="4"/>
    <n v="300"/>
    <n v="1200"/>
    <s v="60+"/>
    <x v="21"/>
    <n v="2023"/>
    <s v="T4-2023"/>
  </r>
  <r>
    <n v="432"/>
    <d v="2023-01-05T00:00:00"/>
    <x v="431"/>
    <x v="1"/>
    <x v="43"/>
    <x v="2"/>
    <n v="2"/>
    <n v="500"/>
    <n v="1000"/>
    <s v="60+"/>
    <x v="79"/>
    <n v="2023"/>
    <s v="T1-2023"/>
  </r>
  <r>
    <n v="433"/>
    <d v="2023-02-27T00:00:00"/>
    <x v="432"/>
    <x v="0"/>
    <x v="38"/>
    <x v="0"/>
    <n v="4"/>
    <n v="50"/>
    <n v="200"/>
    <s v="60+"/>
    <x v="1"/>
    <n v="2023"/>
    <s v="T1-2023"/>
  </r>
  <r>
    <n v="434"/>
    <d v="2023-02-08T00:00:00"/>
    <x v="433"/>
    <x v="1"/>
    <x v="22"/>
    <x v="2"/>
    <n v="2"/>
    <n v="25"/>
    <n v="50"/>
    <s v="60+"/>
    <x v="7"/>
    <n v="2023"/>
    <s v="T1-2023"/>
  </r>
  <r>
    <n v="435"/>
    <d v="2023-12-20T00:00:00"/>
    <x v="434"/>
    <x v="1"/>
    <x v="4"/>
    <x v="0"/>
    <n v="3"/>
    <n v="300"/>
    <n v="900"/>
    <s v="60+"/>
    <x v="8"/>
    <n v="2023"/>
    <s v="T4-2023"/>
  </r>
  <r>
    <n v="436"/>
    <d v="2023-03-18T00:00:00"/>
    <x v="435"/>
    <x v="1"/>
    <x v="35"/>
    <x v="1"/>
    <n v="4"/>
    <n v="30"/>
    <n v="120"/>
    <s v="60+"/>
    <x v="49"/>
    <n v="2023"/>
    <s v="T1-2023"/>
  </r>
  <r>
    <n v="437"/>
    <d v="2023-10-07T00:00:00"/>
    <x v="436"/>
    <x v="1"/>
    <x v="10"/>
    <x v="2"/>
    <n v="4"/>
    <n v="300"/>
    <n v="1200"/>
    <s v="60+"/>
    <x v="9"/>
    <n v="2023"/>
    <s v="T4-2023"/>
  </r>
  <r>
    <n v="438"/>
    <d v="2023-01-19T00:00:00"/>
    <x v="437"/>
    <x v="1"/>
    <x v="13"/>
    <x v="1"/>
    <n v="1"/>
    <n v="30"/>
    <n v="30"/>
    <s v="60+"/>
    <x v="79"/>
    <n v="2023"/>
    <s v="T1-2023"/>
  </r>
  <r>
    <n v="439"/>
    <d v="2023-07-09T00:00:00"/>
    <x v="438"/>
    <x v="0"/>
    <x v="2"/>
    <x v="1"/>
    <n v="3"/>
    <n v="25"/>
    <n v="75"/>
    <s v="60+"/>
    <x v="50"/>
    <n v="2023"/>
    <s v="T3-2023"/>
  </r>
  <r>
    <n v="440"/>
    <d v="2023-10-26T00:00:00"/>
    <x v="439"/>
    <x v="0"/>
    <x v="12"/>
    <x v="1"/>
    <n v="2"/>
    <n v="300"/>
    <n v="600"/>
    <s v="60+"/>
    <x v="66"/>
    <n v="2023"/>
    <s v="T4-2023"/>
  </r>
  <r>
    <n v="441"/>
    <d v="2023-10-10T00:00:00"/>
    <x v="440"/>
    <x v="0"/>
    <x v="35"/>
    <x v="0"/>
    <n v="4"/>
    <n v="300"/>
    <n v="1200"/>
    <s v="60+"/>
    <x v="42"/>
    <n v="2023"/>
    <s v="T4-2023"/>
  </r>
  <r>
    <n v="442"/>
    <d v="2023-03-17T00:00:00"/>
    <x v="441"/>
    <x v="1"/>
    <x v="43"/>
    <x v="1"/>
    <n v="4"/>
    <n v="25"/>
    <n v="100"/>
    <s v="60+"/>
    <x v="73"/>
    <n v="2023"/>
    <s v="T1-2023"/>
  </r>
  <r>
    <n v="443"/>
    <d v="2023-08-09T00:00:00"/>
    <x v="442"/>
    <x v="0"/>
    <x v="38"/>
    <x v="1"/>
    <n v="2"/>
    <n v="300"/>
    <n v="600"/>
    <s v="60+"/>
    <x v="64"/>
    <n v="2023"/>
    <s v="T3-2023"/>
  </r>
  <r>
    <n v="444"/>
    <d v="2023-03-07T00:00:00"/>
    <x v="443"/>
    <x v="1"/>
    <x v="39"/>
    <x v="1"/>
    <n v="3"/>
    <n v="30"/>
    <n v="90"/>
    <s v="60+"/>
    <x v="32"/>
    <n v="2023"/>
    <s v="T1-2023"/>
  </r>
  <r>
    <n v="445"/>
    <d v="2023-01-22T00:00:00"/>
    <x v="444"/>
    <x v="1"/>
    <x v="45"/>
    <x v="2"/>
    <n v="1"/>
    <n v="300"/>
    <n v="300"/>
    <s v="60+"/>
    <x v="58"/>
    <n v="2023"/>
    <s v="T1-2023"/>
  </r>
  <r>
    <n v="446"/>
    <d v="2023-06-07T00:00:00"/>
    <x v="445"/>
    <x v="0"/>
    <x v="34"/>
    <x v="2"/>
    <n v="1"/>
    <n v="50"/>
    <n v="50"/>
    <s v="60+"/>
    <x v="75"/>
    <n v="2023"/>
    <s v="T2-2023"/>
  </r>
  <r>
    <n v="447"/>
    <d v="2023-07-06T00:00:00"/>
    <x v="446"/>
    <x v="0"/>
    <x v="11"/>
    <x v="0"/>
    <n v="4"/>
    <n v="500"/>
    <n v="2000"/>
    <s v="60+"/>
    <x v="41"/>
    <n v="2023"/>
    <s v="T3-2023"/>
  </r>
  <r>
    <n v="448"/>
    <d v="2023-01-21T00:00:00"/>
    <x v="447"/>
    <x v="1"/>
    <x v="31"/>
    <x v="0"/>
    <n v="2"/>
    <n v="30"/>
    <n v="60"/>
    <s v="60+"/>
    <x v="20"/>
    <n v="2023"/>
    <s v="T1-2023"/>
  </r>
  <r>
    <n v="449"/>
    <d v="2023-07-03T00:00:00"/>
    <x v="448"/>
    <x v="0"/>
    <x v="36"/>
    <x v="2"/>
    <n v="4"/>
    <n v="50"/>
    <n v="200"/>
    <s v="60+"/>
    <x v="37"/>
    <n v="2023"/>
    <s v="T3-2023"/>
  </r>
  <r>
    <n v="450"/>
    <d v="2023-04-18T00:00:00"/>
    <x v="449"/>
    <x v="1"/>
    <x v="42"/>
    <x v="0"/>
    <n v="2"/>
    <n v="25"/>
    <n v="50"/>
    <s v="60+"/>
    <x v="5"/>
    <n v="2023"/>
    <s v="T2-2023"/>
  </r>
  <r>
    <n v="451"/>
    <d v="2023-12-16T00:00:00"/>
    <x v="450"/>
    <x v="1"/>
    <x v="5"/>
    <x v="2"/>
    <n v="1"/>
    <n v="30"/>
    <n v="30"/>
    <s v="60+"/>
    <x v="52"/>
    <n v="2023"/>
    <s v="T4-2023"/>
  </r>
  <r>
    <n v="452"/>
    <d v="2023-05-08T00:00:00"/>
    <x v="451"/>
    <x v="1"/>
    <x v="27"/>
    <x v="1"/>
    <n v="3"/>
    <n v="500"/>
    <n v="1500"/>
    <s v="60+"/>
    <x v="47"/>
    <n v="2023"/>
    <s v="T2-2023"/>
  </r>
  <r>
    <n v="453"/>
    <d v="2023-12-08T00:00:00"/>
    <x v="452"/>
    <x v="1"/>
    <x v="1"/>
    <x v="1"/>
    <n v="2"/>
    <n v="500"/>
    <n v="1000"/>
    <s v="60+"/>
    <x v="70"/>
    <n v="2023"/>
    <s v="T4-2023"/>
  </r>
  <r>
    <n v="454"/>
    <d v="2023-02-22T00:00:00"/>
    <x v="453"/>
    <x v="1"/>
    <x v="6"/>
    <x v="0"/>
    <n v="1"/>
    <n v="25"/>
    <n v="25"/>
    <s v="60+"/>
    <x v="7"/>
    <n v="2023"/>
    <s v="T1-2023"/>
  </r>
  <r>
    <n v="455"/>
    <d v="2023-07-01T00:00:00"/>
    <x v="454"/>
    <x v="0"/>
    <x v="33"/>
    <x v="2"/>
    <n v="4"/>
    <n v="25"/>
    <n v="100"/>
    <s v="60+"/>
    <x v="51"/>
    <n v="2023"/>
    <s v="T3-2023"/>
  </r>
  <r>
    <n v="456"/>
    <d v="2023-10-14T00:00:00"/>
    <x v="455"/>
    <x v="0"/>
    <x v="35"/>
    <x v="2"/>
    <n v="2"/>
    <n v="30"/>
    <n v="60"/>
    <s v="60+"/>
    <x v="9"/>
    <n v="2023"/>
    <s v="T4-2023"/>
  </r>
  <r>
    <n v="457"/>
    <d v="2023-07-28T00:00:00"/>
    <x v="456"/>
    <x v="1"/>
    <x v="26"/>
    <x v="0"/>
    <n v="3"/>
    <n v="300"/>
    <n v="900"/>
    <s v="60+"/>
    <x v="35"/>
    <n v="2023"/>
    <s v="T3-2023"/>
  </r>
  <r>
    <n v="458"/>
    <d v="2023-11-14T00:00:00"/>
    <x v="457"/>
    <x v="1"/>
    <x v="23"/>
    <x v="2"/>
    <n v="4"/>
    <n v="25"/>
    <n v="100"/>
    <s v="60+"/>
    <x v="53"/>
    <n v="2023"/>
    <s v="T4-2023"/>
  </r>
  <r>
    <n v="459"/>
    <d v="2023-03-21T00:00:00"/>
    <x v="458"/>
    <x v="0"/>
    <x v="20"/>
    <x v="1"/>
    <n v="4"/>
    <n v="300"/>
    <n v="1200"/>
    <s v="60+"/>
    <x v="32"/>
    <n v="2023"/>
    <s v="T1-2023"/>
  </r>
  <r>
    <n v="460"/>
    <d v="2023-05-02T00:00:00"/>
    <x v="459"/>
    <x v="0"/>
    <x v="30"/>
    <x v="0"/>
    <n v="1"/>
    <n v="50"/>
    <n v="50"/>
    <s v="60+"/>
    <x v="27"/>
    <n v="2023"/>
    <s v="T2-2023"/>
  </r>
  <r>
    <n v="461"/>
    <d v="2023-03-25T00:00:00"/>
    <x v="460"/>
    <x v="1"/>
    <x v="18"/>
    <x v="0"/>
    <n v="2"/>
    <n v="500"/>
    <n v="1000"/>
    <s v="60+"/>
    <x v="49"/>
    <n v="2023"/>
    <s v="T1-2023"/>
  </r>
  <r>
    <n v="462"/>
    <d v="2023-04-01T00:00:00"/>
    <x v="461"/>
    <x v="0"/>
    <x v="7"/>
    <x v="2"/>
    <n v="4"/>
    <n v="300"/>
    <n v="1200"/>
    <s v="60+"/>
    <x v="16"/>
    <n v="2023"/>
    <s v="T2-2023"/>
  </r>
  <r>
    <n v="463"/>
    <d v="2023-07-31T00:00:00"/>
    <x v="462"/>
    <x v="1"/>
    <x v="31"/>
    <x v="0"/>
    <n v="3"/>
    <n v="500"/>
    <n v="1500"/>
    <s v="60+"/>
    <x v="37"/>
    <n v="2023"/>
    <s v="T3-2023"/>
  </r>
  <r>
    <n v="464"/>
    <d v="2023-01-13T00:00:00"/>
    <x v="463"/>
    <x v="0"/>
    <x v="21"/>
    <x v="2"/>
    <n v="2"/>
    <n v="300"/>
    <n v="600"/>
    <s v="60+"/>
    <x v="2"/>
    <n v="2023"/>
    <s v="T1-2023"/>
  </r>
  <r>
    <n v="465"/>
    <d v="2023-04-02T00:00:00"/>
    <x v="464"/>
    <x v="1"/>
    <x v="22"/>
    <x v="2"/>
    <n v="3"/>
    <n v="50"/>
    <n v="150"/>
    <s v="60+"/>
    <x v="17"/>
    <n v="2023"/>
    <s v="T2-2023"/>
  </r>
  <r>
    <n v="466"/>
    <d v="2023-06-20T00:00:00"/>
    <x v="465"/>
    <x v="0"/>
    <x v="7"/>
    <x v="2"/>
    <n v="4"/>
    <n v="25"/>
    <n v="100"/>
    <s v="60+"/>
    <x v="80"/>
    <n v="2023"/>
    <s v="T2-2023"/>
  </r>
  <r>
    <n v="467"/>
    <d v="2023-07-30T00:00:00"/>
    <x v="466"/>
    <x v="1"/>
    <x v="45"/>
    <x v="2"/>
    <n v="3"/>
    <n v="50"/>
    <n v="150"/>
    <s v="60+"/>
    <x v="50"/>
    <n v="2023"/>
    <s v="T3-2023"/>
  </r>
  <r>
    <n v="468"/>
    <d v="2023-12-09T00:00:00"/>
    <x v="467"/>
    <x v="0"/>
    <x v="30"/>
    <x v="2"/>
    <n v="1"/>
    <n v="25"/>
    <n v="25"/>
    <s v="60+"/>
    <x v="52"/>
    <n v="2023"/>
    <s v="T4-2023"/>
  </r>
  <r>
    <n v="469"/>
    <d v="2023-05-08T00:00:00"/>
    <x v="468"/>
    <x v="0"/>
    <x v="18"/>
    <x v="0"/>
    <n v="3"/>
    <n v="25"/>
    <n v="75"/>
    <s v="60+"/>
    <x v="47"/>
    <n v="2023"/>
    <s v="T2-2023"/>
  </r>
  <r>
    <n v="470"/>
    <d v="2023-05-17T00:00:00"/>
    <x v="469"/>
    <x v="1"/>
    <x v="35"/>
    <x v="1"/>
    <n v="2"/>
    <n v="500"/>
    <n v="1000"/>
    <s v="60+"/>
    <x v="43"/>
    <n v="2023"/>
    <s v="T2-2023"/>
  </r>
  <r>
    <n v="471"/>
    <d v="2023-03-23T00:00:00"/>
    <x v="470"/>
    <x v="0"/>
    <x v="40"/>
    <x v="1"/>
    <n v="3"/>
    <n v="50"/>
    <n v="150"/>
    <s v="60+"/>
    <x v="29"/>
    <n v="2023"/>
    <s v="T1-2023"/>
  </r>
  <r>
    <n v="472"/>
    <d v="2023-12-26T00:00:00"/>
    <x v="471"/>
    <x v="1"/>
    <x v="21"/>
    <x v="0"/>
    <n v="3"/>
    <n v="300"/>
    <n v="900"/>
    <s v="60+"/>
    <x v="24"/>
    <n v="2023"/>
    <s v="T4-2023"/>
  </r>
  <r>
    <n v="473"/>
    <d v="2023-02-25T00:00:00"/>
    <x v="472"/>
    <x v="0"/>
    <x v="12"/>
    <x v="0"/>
    <n v="1"/>
    <n v="50"/>
    <n v="50"/>
    <s v="60+"/>
    <x v="78"/>
    <n v="2023"/>
    <s v="T1-2023"/>
  </r>
  <r>
    <n v="474"/>
    <d v="2023-07-15T00:00:00"/>
    <x v="473"/>
    <x v="1"/>
    <x v="1"/>
    <x v="1"/>
    <n v="3"/>
    <n v="500"/>
    <n v="1500"/>
    <s v="60+"/>
    <x v="51"/>
    <n v="2023"/>
    <s v="T3-2023"/>
  </r>
  <r>
    <n v="475"/>
    <d v="2023-01-20T00:00:00"/>
    <x v="474"/>
    <x v="0"/>
    <x v="1"/>
    <x v="1"/>
    <n v="3"/>
    <n v="25"/>
    <n v="75"/>
    <s v="60+"/>
    <x v="2"/>
    <n v="2023"/>
    <s v="T1-2023"/>
  </r>
  <r>
    <n v="476"/>
    <d v="2023-08-29T00:00:00"/>
    <x v="475"/>
    <x v="1"/>
    <x v="15"/>
    <x v="1"/>
    <n v="4"/>
    <n v="500"/>
    <n v="2000"/>
    <s v="60+"/>
    <x v="65"/>
    <n v="2023"/>
    <s v="T3-2023"/>
  </r>
  <r>
    <n v="477"/>
    <d v="2023-04-24T00:00:00"/>
    <x v="476"/>
    <x v="0"/>
    <x v="22"/>
    <x v="1"/>
    <n v="4"/>
    <n v="30"/>
    <n v="120"/>
    <s v="60+"/>
    <x v="82"/>
    <n v="2023"/>
    <s v="T2-2023"/>
  </r>
  <r>
    <n v="478"/>
    <d v="2023-04-13T00:00:00"/>
    <x v="477"/>
    <x v="1"/>
    <x v="26"/>
    <x v="1"/>
    <n v="2"/>
    <n v="30"/>
    <n v="60"/>
    <s v="60+"/>
    <x v="46"/>
    <n v="2023"/>
    <s v="T2-2023"/>
  </r>
  <r>
    <n v="479"/>
    <d v="2023-08-24T00:00:00"/>
    <x v="478"/>
    <x v="0"/>
    <x v="8"/>
    <x v="2"/>
    <n v="4"/>
    <n v="300"/>
    <n v="1200"/>
    <s v="60+"/>
    <x v="25"/>
    <n v="2023"/>
    <s v="T3-2023"/>
  </r>
  <r>
    <n v="480"/>
    <d v="2023-06-29T00:00:00"/>
    <x v="479"/>
    <x v="1"/>
    <x v="13"/>
    <x v="0"/>
    <n v="4"/>
    <n v="500"/>
    <n v="2000"/>
    <s v="60+"/>
    <x v="34"/>
    <n v="2023"/>
    <s v="T2-2023"/>
  </r>
  <r>
    <n v="481"/>
    <d v="2023-06-06T00:00:00"/>
    <x v="480"/>
    <x v="1"/>
    <x v="22"/>
    <x v="2"/>
    <n v="4"/>
    <n v="300"/>
    <n v="1200"/>
    <s v="60+"/>
    <x v="80"/>
    <n v="2023"/>
    <s v="T2-2023"/>
  </r>
  <r>
    <n v="482"/>
    <d v="2023-04-27T00:00:00"/>
    <x v="481"/>
    <x v="1"/>
    <x v="20"/>
    <x v="1"/>
    <n v="4"/>
    <n v="300"/>
    <n v="1200"/>
    <s v="60+"/>
    <x v="46"/>
    <n v="2023"/>
    <s v="T2-2023"/>
  </r>
  <r>
    <n v="483"/>
    <d v="2023-04-25T00:00:00"/>
    <x v="482"/>
    <x v="0"/>
    <x v="28"/>
    <x v="1"/>
    <n v="1"/>
    <n v="30"/>
    <n v="30"/>
    <s v="60+"/>
    <x v="5"/>
    <n v="2023"/>
    <s v="T2-2023"/>
  </r>
  <r>
    <n v="484"/>
    <d v="2023-01-13T00:00:00"/>
    <x v="483"/>
    <x v="1"/>
    <x v="14"/>
    <x v="1"/>
    <n v="4"/>
    <n v="300"/>
    <n v="1200"/>
    <s v="60+"/>
    <x v="2"/>
    <n v="2023"/>
    <s v="T1-2023"/>
  </r>
  <r>
    <n v="485"/>
    <d v="2023-12-04T00:00:00"/>
    <x v="484"/>
    <x v="0"/>
    <x v="46"/>
    <x v="2"/>
    <n v="1"/>
    <n v="30"/>
    <n v="30"/>
    <s v="60+"/>
    <x v="76"/>
    <n v="2023"/>
    <s v="T4-2023"/>
  </r>
  <r>
    <n v="486"/>
    <d v="2023-04-09T00:00:00"/>
    <x v="485"/>
    <x v="1"/>
    <x v="10"/>
    <x v="2"/>
    <n v="1"/>
    <n v="25"/>
    <n v="25"/>
    <s v="60+"/>
    <x v="17"/>
    <n v="2023"/>
    <s v="T2-2023"/>
  </r>
  <r>
    <n v="487"/>
    <d v="2023-07-24T00:00:00"/>
    <x v="486"/>
    <x v="0"/>
    <x v="24"/>
    <x v="1"/>
    <n v="4"/>
    <n v="500"/>
    <n v="2000"/>
    <s v="60+"/>
    <x v="37"/>
    <n v="2023"/>
    <s v="T3-2023"/>
  </r>
  <r>
    <n v="488"/>
    <d v="2023-06-18T00:00:00"/>
    <x v="487"/>
    <x v="1"/>
    <x v="25"/>
    <x v="2"/>
    <n v="3"/>
    <n v="300"/>
    <n v="900"/>
    <s v="60+"/>
    <x v="59"/>
    <n v="2023"/>
    <s v="T2-2023"/>
  </r>
  <r>
    <n v="489"/>
    <d v="2023-05-23T00:00:00"/>
    <x v="488"/>
    <x v="0"/>
    <x v="24"/>
    <x v="2"/>
    <n v="1"/>
    <n v="30"/>
    <n v="30"/>
    <s v="60+"/>
    <x v="27"/>
    <n v="2023"/>
    <s v="T2-2023"/>
  </r>
  <r>
    <n v="490"/>
    <d v="2023-02-05T00:00:00"/>
    <x v="489"/>
    <x v="0"/>
    <x v="0"/>
    <x v="1"/>
    <n v="3"/>
    <n v="50"/>
    <n v="150"/>
    <s v="60+"/>
    <x v="36"/>
    <n v="2023"/>
    <s v="T1-2023"/>
  </r>
  <r>
    <n v="491"/>
    <d v="2023-05-23T00:00:00"/>
    <x v="490"/>
    <x v="1"/>
    <x v="43"/>
    <x v="2"/>
    <n v="3"/>
    <n v="300"/>
    <n v="900"/>
    <s v="60+"/>
    <x v="27"/>
    <n v="2023"/>
    <s v="T2-2023"/>
  </r>
  <r>
    <n v="492"/>
    <d v="2023-06-29T00:00:00"/>
    <x v="491"/>
    <x v="0"/>
    <x v="39"/>
    <x v="0"/>
    <n v="4"/>
    <n v="25"/>
    <n v="100"/>
    <s v="60+"/>
    <x v="34"/>
    <n v="2023"/>
    <s v="T2-2023"/>
  </r>
  <r>
    <n v="493"/>
    <d v="2023-11-25T00:00:00"/>
    <x v="492"/>
    <x v="0"/>
    <x v="41"/>
    <x v="0"/>
    <n v="2"/>
    <n v="25"/>
    <n v="50"/>
    <s v="60+"/>
    <x v="44"/>
    <n v="2023"/>
    <s v="T4-2023"/>
  </r>
  <r>
    <n v="494"/>
    <d v="2023-09-18T00:00:00"/>
    <x v="493"/>
    <x v="1"/>
    <x v="13"/>
    <x v="0"/>
    <n v="4"/>
    <n v="50"/>
    <n v="200"/>
    <s v="60+"/>
    <x v="67"/>
    <n v="2023"/>
    <s v="T3-2023"/>
  </r>
  <r>
    <n v="495"/>
    <d v="2023-07-24T00:00:00"/>
    <x v="494"/>
    <x v="0"/>
    <x v="46"/>
    <x v="0"/>
    <n v="2"/>
    <n v="30"/>
    <n v="60"/>
    <s v="60+"/>
    <x v="37"/>
    <n v="2023"/>
    <s v="T3-2023"/>
  </r>
  <r>
    <n v="496"/>
    <d v="2023-12-14T00:00:00"/>
    <x v="495"/>
    <x v="0"/>
    <x v="9"/>
    <x v="1"/>
    <n v="2"/>
    <n v="300"/>
    <n v="600"/>
    <s v="60+"/>
    <x v="81"/>
    <n v="2023"/>
    <s v="T4-2023"/>
  </r>
  <r>
    <n v="497"/>
    <d v="2023-10-02T00:00:00"/>
    <x v="496"/>
    <x v="0"/>
    <x v="41"/>
    <x v="1"/>
    <n v="4"/>
    <n v="30"/>
    <n v="120"/>
    <s v="60+"/>
    <x v="11"/>
    <n v="2023"/>
    <s v="T4-2023"/>
  </r>
  <r>
    <n v="498"/>
    <d v="2023-06-19T00:00:00"/>
    <x v="497"/>
    <x v="1"/>
    <x v="2"/>
    <x v="1"/>
    <n v="4"/>
    <n v="25"/>
    <n v="100"/>
    <s v="60+"/>
    <x v="38"/>
    <n v="2023"/>
    <s v="T2-2023"/>
  </r>
  <r>
    <n v="499"/>
    <d v="2023-01-15T00:00:00"/>
    <x v="498"/>
    <x v="0"/>
    <x v="6"/>
    <x v="0"/>
    <n v="2"/>
    <n v="30"/>
    <n v="60"/>
    <s v="60+"/>
    <x v="58"/>
    <n v="2023"/>
    <s v="T1-2023"/>
  </r>
  <r>
    <n v="500"/>
    <d v="2023-03-01T00:00:00"/>
    <x v="499"/>
    <x v="1"/>
    <x v="43"/>
    <x v="0"/>
    <n v="4"/>
    <n v="25"/>
    <n v="100"/>
    <s v="60+"/>
    <x v="54"/>
    <n v="2023"/>
    <s v="T1-2023"/>
  </r>
  <r>
    <n v="501"/>
    <d v="2023-05-14T00:00:00"/>
    <x v="500"/>
    <x v="0"/>
    <x v="23"/>
    <x v="2"/>
    <n v="2"/>
    <n v="30"/>
    <n v="60"/>
    <s v="60+"/>
    <x v="3"/>
    <n v="2023"/>
    <s v="T2-2023"/>
  </r>
  <r>
    <n v="502"/>
    <d v="2023-04-02T00:00:00"/>
    <x v="501"/>
    <x v="0"/>
    <x v="22"/>
    <x v="2"/>
    <n v="3"/>
    <n v="50"/>
    <n v="150"/>
    <s v="60+"/>
    <x v="17"/>
    <n v="2023"/>
    <s v="T2-2023"/>
  </r>
  <r>
    <n v="503"/>
    <d v="2023-10-25T00:00:00"/>
    <x v="502"/>
    <x v="0"/>
    <x v="5"/>
    <x v="0"/>
    <n v="4"/>
    <n v="500"/>
    <n v="2000"/>
    <s v="60+"/>
    <x v="62"/>
    <n v="2023"/>
    <s v="T4-2023"/>
  </r>
  <r>
    <n v="504"/>
    <d v="2023-05-16T00:00:00"/>
    <x v="503"/>
    <x v="1"/>
    <x v="21"/>
    <x v="0"/>
    <n v="3"/>
    <n v="50"/>
    <n v="150"/>
    <s v="60+"/>
    <x v="27"/>
    <n v="2023"/>
    <s v="T2-2023"/>
  </r>
  <r>
    <n v="505"/>
    <d v="2023-01-20T00:00:00"/>
    <x v="504"/>
    <x v="0"/>
    <x v="46"/>
    <x v="0"/>
    <n v="1"/>
    <n v="50"/>
    <n v="50"/>
    <s v="60+"/>
    <x v="2"/>
    <n v="2023"/>
    <s v="T1-2023"/>
  </r>
  <r>
    <n v="506"/>
    <d v="2023-02-25T00:00:00"/>
    <x v="505"/>
    <x v="0"/>
    <x v="0"/>
    <x v="0"/>
    <n v="3"/>
    <n v="500"/>
    <n v="1500"/>
    <s v="60+"/>
    <x v="78"/>
    <n v="2023"/>
    <s v="T1-2023"/>
  </r>
  <r>
    <n v="507"/>
    <d v="2023-11-02T00:00:00"/>
    <x v="506"/>
    <x v="1"/>
    <x v="3"/>
    <x v="2"/>
    <n v="3"/>
    <n v="500"/>
    <n v="1500"/>
    <s v="60+"/>
    <x v="71"/>
    <n v="2023"/>
    <s v="T4-2023"/>
  </r>
  <r>
    <n v="508"/>
    <d v="2023-08-11T00:00:00"/>
    <x v="507"/>
    <x v="0"/>
    <x v="26"/>
    <x v="0"/>
    <n v="2"/>
    <n v="300"/>
    <n v="600"/>
    <s v="60+"/>
    <x v="26"/>
    <n v="2023"/>
    <s v="T3-2023"/>
  </r>
  <r>
    <n v="509"/>
    <d v="2023-06-26T00:00:00"/>
    <x v="508"/>
    <x v="1"/>
    <x v="3"/>
    <x v="2"/>
    <n v="3"/>
    <n v="300"/>
    <n v="900"/>
    <s v="60+"/>
    <x v="38"/>
    <n v="2023"/>
    <s v="T2-2023"/>
  </r>
  <r>
    <n v="510"/>
    <d v="2023-06-10T00:00:00"/>
    <x v="509"/>
    <x v="1"/>
    <x v="23"/>
    <x v="0"/>
    <n v="4"/>
    <n v="50"/>
    <n v="200"/>
    <s v="60+"/>
    <x v="31"/>
    <n v="2023"/>
    <s v="T2-2023"/>
  </r>
  <r>
    <n v="511"/>
    <d v="2023-08-12T00:00:00"/>
    <x v="510"/>
    <x v="0"/>
    <x v="5"/>
    <x v="0"/>
    <n v="2"/>
    <n v="50"/>
    <n v="100"/>
    <s v="60+"/>
    <x v="12"/>
    <n v="2023"/>
    <s v="T3-2023"/>
  </r>
  <r>
    <n v="512"/>
    <d v="2023-11-07T00:00:00"/>
    <x v="511"/>
    <x v="1"/>
    <x v="35"/>
    <x v="0"/>
    <n v="1"/>
    <n v="25"/>
    <n v="25"/>
    <s v="60+"/>
    <x v="53"/>
    <n v="2023"/>
    <s v="T4-2023"/>
  </r>
  <r>
    <n v="513"/>
    <d v="2023-09-19T00:00:00"/>
    <x v="512"/>
    <x v="0"/>
    <x v="46"/>
    <x v="2"/>
    <n v="4"/>
    <n v="25"/>
    <n v="100"/>
    <s v="60+"/>
    <x v="83"/>
    <n v="2023"/>
    <s v="T3-2023"/>
  </r>
  <r>
    <n v="514"/>
    <d v="2023-03-01T00:00:00"/>
    <x v="513"/>
    <x v="1"/>
    <x v="18"/>
    <x v="2"/>
    <n v="1"/>
    <n v="300"/>
    <n v="300"/>
    <s v="60+"/>
    <x v="54"/>
    <n v="2023"/>
    <s v="T1-2023"/>
  </r>
  <r>
    <n v="515"/>
    <d v="2023-07-17T00:00:00"/>
    <x v="514"/>
    <x v="1"/>
    <x v="19"/>
    <x v="1"/>
    <n v="3"/>
    <n v="300"/>
    <n v="900"/>
    <s v="60+"/>
    <x v="37"/>
    <n v="2023"/>
    <s v="T3-2023"/>
  </r>
  <r>
    <n v="516"/>
    <d v="2023-10-23T00:00:00"/>
    <x v="515"/>
    <x v="0"/>
    <x v="4"/>
    <x v="0"/>
    <n v="4"/>
    <n v="25"/>
    <n v="100"/>
    <s v="60+"/>
    <x v="11"/>
    <n v="2023"/>
    <s v="T4-2023"/>
  </r>
  <r>
    <n v="517"/>
    <d v="2023-04-08T00:00:00"/>
    <x v="516"/>
    <x v="1"/>
    <x v="16"/>
    <x v="1"/>
    <n v="4"/>
    <n v="25"/>
    <n v="100"/>
    <s v="60+"/>
    <x v="16"/>
    <n v="2023"/>
    <s v="T2-2023"/>
  </r>
  <r>
    <n v="518"/>
    <d v="2023-05-11T00:00:00"/>
    <x v="517"/>
    <x v="1"/>
    <x v="30"/>
    <x v="1"/>
    <n v="1"/>
    <n v="30"/>
    <n v="30"/>
    <s v="60+"/>
    <x v="61"/>
    <n v="2023"/>
    <s v="T2-2023"/>
  </r>
  <r>
    <n v="519"/>
    <d v="2023-01-23T00:00:00"/>
    <x v="518"/>
    <x v="1"/>
    <x v="32"/>
    <x v="2"/>
    <n v="4"/>
    <n v="30"/>
    <n v="120"/>
    <s v="60+"/>
    <x v="14"/>
    <n v="2023"/>
    <s v="T1-2023"/>
  </r>
  <r>
    <n v="520"/>
    <d v="2023-12-29T00:00:00"/>
    <x v="519"/>
    <x v="1"/>
    <x v="19"/>
    <x v="2"/>
    <n v="4"/>
    <n v="25"/>
    <n v="100"/>
    <s v="60+"/>
    <x v="70"/>
    <n v="2023"/>
    <s v="T4-2023"/>
  </r>
  <r>
    <n v="521"/>
    <d v="2023-08-12T00:00:00"/>
    <x v="520"/>
    <x v="1"/>
    <x v="16"/>
    <x v="1"/>
    <n v="4"/>
    <n v="30"/>
    <n v="120"/>
    <s v="60+"/>
    <x v="12"/>
    <n v="2023"/>
    <s v="T3-2023"/>
  </r>
  <r>
    <n v="522"/>
    <d v="2023-01-01T00:00:00"/>
    <x v="521"/>
    <x v="0"/>
    <x v="6"/>
    <x v="0"/>
    <n v="3"/>
    <n v="500"/>
    <n v="1500"/>
    <s v="60+"/>
    <x v="58"/>
    <n v="2023"/>
    <s v="T1-2023"/>
  </r>
  <r>
    <n v="523"/>
    <d v="2023-09-24T00:00:00"/>
    <x v="522"/>
    <x v="1"/>
    <x v="17"/>
    <x v="2"/>
    <n v="1"/>
    <n v="300"/>
    <n v="300"/>
    <s v="60+"/>
    <x v="68"/>
    <n v="2023"/>
    <s v="T3-2023"/>
  </r>
  <r>
    <n v="524"/>
    <d v="2023-10-03T00:00:00"/>
    <x v="523"/>
    <x v="0"/>
    <x v="6"/>
    <x v="0"/>
    <n v="4"/>
    <n v="300"/>
    <n v="1200"/>
    <s v="60+"/>
    <x v="42"/>
    <n v="2023"/>
    <s v="T4-2023"/>
  </r>
  <r>
    <n v="525"/>
    <d v="2023-12-18T00:00:00"/>
    <x v="524"/>
    <x v="1"/>
    <x v="16"/>
    <x v="0"/>
    <n v="2"/>
    <n v="25"/>
    <n v="50"/>
    <s v="60+"/>
    <x v="76"/>
    <n v="2023"/>
    <s v="T4-2023"/>
  </r>
  <r>
    <n v="526"/>
    <d v="2023-12-10T00:00:00"/>
    <x v="525"/>
    <x v="0"/>
    <x v="44"/>
    <x v="1"/>
    <n v="2"/>
    <n v="50"/>
    <n v="100"/>
    <s v="60+"/>
    <x v="30"/>
    <n v="2023"/>
    <s v="T4-2023"/>
  </r>
  <r>
    <n v="527"/>
    <d v="2023-04-11T00:00:00"/>
    <x v="526"/>
    <x v="0"/>
    <x v="35"/>
    <x v="1"/>
    <n v="2"/>
    <n v="25"/>
    <n v="50"/>
    <s v="60+"/>
    <x v="5"/>
    <n v="2023"/>
    <s v="T2-2023"/>
  </r>
  <r>
    <n v="528"/>
    <d v="2023-07-06T00:00:00"/>
    <x v="527"/>
    <x v="1"/>
    <x v="32"/>
    <x v="1"/>
    <n v="2"/>
    <n v="30"/>
    <n v="60"/>
    <s v="60+"/>
    <x v="41"/>
    <n v="2023"/>
    <s v="T3-2023"/>
  </r>
  <r>
    <n v="529"/>
    <d v="2023-08-09T00:00:00"/>
    <x v="528"/>
    <x v="1"/>
    <x v="10"/>
    <x v="1"/>
    <n v="3"/>
    <n v="50"/>
    <n v="150"/>
    <s v="60+"/>
    <x v="64"/>
    <n v="2023"/>
    <s v="T3-2023"/>
  </r>
  <r>
    <n v="530"/>
    <d v="2023-02-05T00:00:00"/>
    <x v="529"/>
    <x v="1"/>
    <x v="18"/>
    <x v="2"/>
    <n v="4"/>
    <n v="30"/>
    <n v="120"/>
    <s v="60+"/>
    <x v="36"/>
    <n v="2023"/>
    <s v="T1-2023"/>
  </r>
  <r>
    <n v="531"/>
    <d v="2023-12-07T00:00:00"/>
    <x v="530"/>
    <x v="0"/>
    <x v="33"/>
    <x v="2"/>
    <n v="1"/>
    <n v="500"/>
    <n v="500"/>
    <s v="60+"/>
    <x v="81"/>
    <n v="2023"/>
    <s v="T4-2023"/>
  </r>
  <r>
    <n v="532"/>
    <d v="2023-06-19T00:00:00"/>
    <x v="531"/>
    <x v="1"/>
    <x v="12"/>
    <x v="1"/>
    <n v="4"/>
    <n v="30"/>
    <n v="120"/>
    <s v="60+"/>
    <x v="38"/>
    <n v="2023"/>
    <s v="T2-2023"/>
  </r>
  <r>
    <n v="533"/>
    <d v="2023-11-16T00:00:00"/>
    <x v="532"/>
    <x v="0"/>
    <x v="14"/>
    <x v="2"/>
    <n v="3"/>
    <n v="500"/>
    <n v="1500"/>
    <s v="60+"/>
    <x v="71"/>
    <n v="2023"/>
    <s v="T4-2023"/>
  </r>
  <r>
    <n v="534"/>
    <d v="2023-06-10T00:00:00"/>
    <x v="533"/>
    <x v="0"/>
    <x v="5"/>
    <x v="1"/>
    <n v="2"/>
    <n v="500"/>
    <n v="1000"/>
    <s v="60+"/>
    <x v="31"/>
    <n v="2023"/>
    <s v="T2-2023"/>
  </r>
  <r>
    <n v="535"/>
    <d v="2023-12-06T00:00:00"/>
    <x v="534"/>
    <x v="0"/>
    <x v="16"/>
    <x v="0"/>
    <n v="3"/>
    <n v="30"/>
    <n v="90"/>
    <s v="60+"/>
    <x v="8"/>
    <n v="2023"/>
    <s v="T4-2023"/>
  </r>
  <r>
    <n v="536"/>
    <d v="2023-03-05T00:00:00"/>
    <x v="535"/>
    <x v="1"/>
    <x v="28"/>
    <x v="0"/>
    <n v="4"/>
    <n v="30"/>
    <n v="120"/>
    <s v="60+"/>
    <x v="40"/>
    <n v="2023"/>
    <s v="T1-2023"/>
  </r>
  <r>
    <n v="537"/>
    <d v="2023-06-03T00:00:00"/>
    <x v="536"/>
    <x v="1"/>
    <x v="34"/>
    <x v="0"/>
    <n v="1"/>
    <n v="500"/>
    <n v="500"/>
    <s v="60+"/>
    <x v="31"/>
    <n v="2023"/>
    <s v="T2-2023"/>
  </r>
  <r>
    <n v="538"/>
    <d v="2023-09-17T00:00:00"/>
    <x v="537"/>
    <x v="0"/>
    <x v="18"/>
    <x v="1"/>
    <n v="3"/>
    <n v="50"/>
    <n v="150"/>
    <s v="60+"/>
    <x v="68"/>
    <n v="2023"/>
    <s v="T3-2023"/>
  </r>
  <r>
    <n v="539"/>
    <d v="2023-06-08T00:00:00"/>
    <x v="538"/>
    <x v="0"/>
    <x v="36"/>
    <x v="0"/>
    <n v="1"/>
    <n v="500"/>
    <n v="500"/>
    <s v="60+"/>
    <x v="34"/>
    <n v="2023"/>
    <s v="T2-2023"/>
  </r>
  <r>
    <n v="540"/>
    <d v="2023-12-08T00:00:00"/>
    <x v="539"/>
    <x v="1"/>
    <x v="6"/>
    <x v="2"/>
    <n v="3"/>
    <n v="300"/>
    <n v="900"/>
    <s v="60+"/>
    <x v="70"/>
    <n v="2023"/>
    <s v="T4-2023"/>
  </r>
  <r>
    <n v="541"/>
    <d v="2023-07-29T00:00:00"/>
    <x v="540"/>
    <x v="0"/>
    <x v="37"/>
    <x v="0"/>
    <n v="1"/>
    <n v="500"/>
    <n v="500"/>
    <s v="60+"/>
    <x v="51"/>
    <n v="2023"/>
    <s v="T3-2023"/>
  </r>
  <r>
    <n v="542"/>
    <d v="2023-06-17T00:00:00"/>
    <x v="541"/>
    <x v="1"/>
    <x v="29"/>
    <x v="0"/>
    <n v="1"/>
    <n v="50"/>
    <n v="50"/>
    <s v="60+"/>
    <x v="31"/>
    <n v="2023"/>
    <s v="T2-2023"/>
  </r>
  <r>
    <n v="543"/>
    <d v="2023-07-26T00:00:00"/>
    <x v="542"/>
    <x v="0"/>
    <x v="19"/>
    <x v="0"/>
    <n v="2"/>
    <n v="300"/>
    <n v="600"/>
    <s v="60+"/>
    <x v="45"/>
    <n v="2023"/>
    <s v="T3-2023"/>
  </r>
  <r>
    <n v="544"/>
    <d v="2023-12-23T00:00:00"/>
    <x v="543"/>
    <x v="1"/>
    <x v="15"/>
    <x v="2"/>
    <n v="1"/>
    <n v="25"/>
    <n v="25"/>
    <s v="60+"/>
    <x v="52"/>
    <n v="2023"/>
    <s v="T4-2023"/>
  </r>
  <r>
    <n v="545"/>
    <d v="2023-06-01T00:00:00"/>
    <x v="544"/>
    <x v="0"/>
    <x v="15"/>
    <x v="1"/>
    <n v="2"/>
    <n v="25"/>
    <n v="50"/>
    <s v="60+"/>
    <x v="34"/>
    <n v="2023"/>
    <s v="T2-2023"/>
  </r>
  <r>
    <n v="546"/>
    <d v="2023-10-11T00:00:00"/>
    <x v="545"/>
    <x v="1"/>
    <x v="32"/>
    <x v="2"/>
    <n v="4"/>
    <n v="50"/>
    <n v="200"/>
    <s v="60+"/>
    <x v="62"/>
    <n v="2023"/>
    <s v="T4-2023"/>
  </r>
  <r>
    <n v="547"/>
    <d v="2023-03-07T00:00:00"/>
    <x v="546"/>
    <x v="0"/>
    <x v="7"/>
    <x v="1"/>
    <n v="4"/>
    <n v="500"/>
    <n v="2000"/>
    <s v="60+"/>
    <x v="32"/>
    <n v="2023"/>
    <s v="T1-2023"/>
  </r>
  <r>
    <n v="548"/>
    <d v="2023-04-09T00:00:00"/>
    <x v="547"/>
    <x v="1"/>
    <x v="25"/>
    <x v="1"/>
    <n v="2"/>
    <n v="30"/>
    <n v="60"/>
    <s v="60+"/>
    <x v="17"/>
    <n v="2023"/>
    <s v="T2-2023"/>
  </r>
  <r>
    <n v="549"/>
    <d v="2023-08-04T00:00:00"/>
    <x v="548"/>
    <x v="1"/>
    <x v="2"/>
    <x v="0"/>
    <n v="2"/>
    <n v="50"/>
    <n v="100"/>
    <s v="60+"/>
    <x v="26"/>
    <n v="2023"/>
    <s v="T3-2023"/>
  </r>
  <r>
    <n v="550"/>
    <d v="2023-12-07T00:00:00"/>
    <x v="549"/>
    <x v="0"/>
    <x v="30"/>
    <x v="1"/>
    <n v="3"/>
    <n v="300"/>
    <n v="900"/>
    <s v="60+"/>
    <x v="81"/>
    <n v="2023"/>
    <s v="T4-2023"/>
  </r>
  <r>
    <n v="551"/>
    <d v="2023-07-14T00:00:00"/>
    <x v="550"/>
    <x v="0"/>
    <x v="5"/>
    <x v="2"/>
    <n v="3"/>
    <n v="300"/>
    <n v="900"/>
    <s v="60+"/>
    <x v="35"/>
    <n v="2023"/>
    <s v="T3-2023"/>
  </r>
  <r>
    <n v="552"/>
    <d v="2023-12-13T00:00:00"/>
    <x v="551"/>
    <x v="1"/>
    <x v="19"/>
    <x v="2"/>
    <n v="3"/>
    <n v="25"/>
    <n v="75"/>
    <s v="60+"/>
    <x v="8"/>
    <n v="2023"/>
    <s v="T4-2023"/>
  </r>
  <r>
    <n v="553"/>
    <d v="2023-03-31T00:00:00"/>
    <x v="552"/>
    <x v="0"/>
    <x v="46"/>
    <x v="1"/>
    <n v="4"/>
    <n v="300"/>
    <n v="1200"/>
    <s v="60+"/>
    <x v="73"/>
    <n v="2023"/>
    <s v="T1-2023"/>
  </r>
  <r>
    <n v="554"/>
    <d v="2023-11-12T00:00:00"/>
    <x v="553"/>
    <x v="1"/>
    <x v="6"/>
    <x v="0"/>
    <n v="3"/>
    <n v="50"/>
    <n v="150"/>
    <s v="60+"/>
    <x v="19"/>
    <n v="2023"/>
    <s v="T4-2023"/>
  </r>
  <r>
    <n v="555"/>
    <d v="2023-10-19T00:00:00"/>
    <x v="554"/>
    <x v="0"/>
    <x v="36"/>
    <x v="0"/>
    <n v="1"/>
    <n v="300"/>
    <n v="300"/>
    <s v="60+"/>
    <x v="66"/>
    <n v="2023"/>
    <s v="T4-2023"/>
  </r>
  <r>
    <n v="556"/>
    <d v="2023-06-04T00:00:00"/>
    <x v="555"/>
    <x v="1"/>
    <x v="18"/>
    <x v="2"/>
    <n v="1"/>
    <n v="50"/>
    <n v="50"/>
    <s v="60+"/>
    <x v="59"/>
    <n v="2023"/>
    <s v="T2-2023"/>
  </r>
  <r>
    <n v="557"/>
    <d v="2023-07-27T00:00:00"/>
    <x v="556"/>
    <x v="1"/>
    <x v="29"/>
    <x v="0"/>
    <n v="3"/>
    <n v="30"/>
    <n v="90"/>
    <s v="60+"/>
    <x v="41"/>
    <n v="2023"/>
    <s v="T3-2023"/>
  </r>
  <r>
    <n v="558"/>
    <d v="2023-10-08T00:00:00"/>
    <x v="557"/>
    <x v="1"/>
    <x v="41"/>
    <x v="1"/>
    <n v="1"/>
    <n v="25"/>
    <n v="25"/>
    <s v="60+"/>
    <x v="21"/>
    <n v="2023"/>
    <s v="T4-2023"/>
  </r>
  <r>
    <n v="559"/>
    <d v="2023-01-01T00:00:00"/>
    <x v="558"/>
    <x v="1"/>
    <x v="30"/>
    <x v="1"/>
    <n v="4"/>
    <n v="300"/>
    <n v="1200"/>
    <s v="60+"/>
    <x v="58"/>
    <n v="2023"/>
    <s v="T1-2023"/>
  </r>
  <r>
    <n v="560"/>
    <d v="2023-06-05T00:00:00"/>
    <x v="559"/>
    <x v="1"/>
    <x v="36"/>
    <x v="2"/>
    <n v="1"/>
    <n v="50"/>
    <n v="50"/>
    <s v="60+"/>
    <x v="38"/>
    <n v="2023"/>
    <s v="T2-2023"/>
  </r>
  <r>
    <n v="561"/>
    <d v="2023-05-27T00:00:00"/>
    <x v="560"/>
    <x v="1"/>
    <x v="12"/>
    <x v="1"/>
    <n v="4"/>
    <n v="500"/>
    <n v="2000"/>
    <s v="60+"/>
    <x v="4"/>
    <n v="2023"/>
    <s v="T2-2023"/>
  </r>
  <r>
    <n v="562"/>
    <d v="2023-04-18T00:00:00"/>
    <x v="561"/>
    <x v="0"/>
    <x v="31"/>
    <x v="2"/>
    <n v="2"/>
    <n v="25"/>
    <n v="50"/>
    <s v="60+"/>
    <x v="5"/>
    <n v="2023"/>
    <s v="T2-2023"/>
  </r>
  <r>
    <n v="563"/>
    <d v="2023-08-09T00:00:00"/>
    <x v="562"/>
    <x v="0"/>
    <x v="29"/>
    <x v="1"/>
    <n v="2"/>
    <n v="30"/>
    <n v="60"/>
    <s v="60+"/>
    <x v="64"/>
    <n v="2023"/>
    <s v="T3-2023"/>
  </r>
  <r>
    <n v="564"/>
    <d v="2023-10-24T00:00:00"/>
    <x v="563"/>
    <x v="0"/>
    <x v="2"/>
    <x v="2"/>
    <n v="2"/>
    <n v="50"/>
    <n v="100"/>
    <s v="60+"/>
    <x v="42"/>
    <n v="2023"/>
    <s v="T4-2023"/>
  </r>
  <r>
    <n v="565"/>
    <d v="2023-11-07T00:00:00"/>
    <x v="564"/>
    <x v="1"/>
    <x v="5"/>
    <x v="0"/>
    <n v="2"/>
    <n v="30"/>
    <n v="60"/>
    <s v="60+"/>
    <x v="53"/>
    <n v="2023"/>
    <s v="T4-2023"/>
  </r>
  <r>
    <n v="566"/>
    <d v="2023-12-02T00:00:00"/>
    <x v="565"/>
    <x v="1"/>
    <x v="12"/>
    <x v="1"/>
    <n v="1"/>
    <n v="30"/>
    <n v="30"/>
    <s v="60+"/>
    <x v="52"/>
    <n v="2023"/>
    <s v="T4-2023"/>
  </r>
  <r>
    <n v="567"/>
    <d v="2023-06-14T00:00:00"/>
    <x v="566"/>
    <x v="1"/>
    <x v="36"/>
    <x v="1"/>
    <n v="3"/>
    <n v="300"/>
    <n v="900"/>
    <s v="60+"/>
    <x v="75"/>
    <n v="2023"/>
    <s v="T2-2023"/>
  </r>
  <r>
    <n v="568"/>
    <d v="2023-08-27T00:00:00"/>
    <x v="567"/>
    <x v="1"/>
    <x v="25"/>
    <x v="2"/>
    <n v="1"/>
    <n v="300"/>
    <n v="300"/>
    <s v="60+"/>
    <x v="77"/>
    <n v="2023"/>
    <s v="T3-2023"/>
  </r>
  <r>
    <n v="569"/>
    <d v="2023-08-15T00:00:00"/>
    <x v="568"/>
    <x v="0"/>
    <x v="8"/>
    <x v="2"/>
    <n v="4"/>
    <n v="50"/>
    <n v="200"/>
    <s v="60+"/>
    <x v="65"/>
    <n v="2023"/>
    <s v="T3-2023"/>
  </r>
  <r>
    <n v="570"/>
    <d v="2023-08-15T00:00:00"/>
    <x v="569"/>
    <x v="0"/>
    <x v="19"/>
    <x v="1"/>
    <n v="1"/>
    <n v="500"/>
    <n v="500"/>
    <s v="60+"/>
    <x v="65"/>
    <n v="2023"/>
    <s v="T3-2023"/>
  </r>
  <r>
    <n v="571"/>
    <d v="2023-12-12T00:00:00"/>
    <x v="570"/>
    <x v="1"/>
    <x v="41"/>
    <x v="2"/>
    <n v="1"/>
    <n v="50"/>
    <n v="50"/>
    <s v="60+"/>
    <x v="24"/>
    <n v="2023"/>
    <s v="T4-2023"/>
  </r>
  <r>
    <n v="572"/>
    <d v="2023-04-20T00:00:00"/>
    <x v="571"/>
    <x v="0"/>
    <x v="33"/>
    <x v="1"/>
    <n v="4"/>
    <n v="500"/>
    <n v="2000"/>
    <s v="60+"/>
    <x v="46"/>
    <n v="2023"/>
    <s v="T2-2023"/>
  </r>
  <r>
    <n v="573"/>
    <d v="2023-09-19T00:00:00"/>
    <x v="572"/>
    <x v="0"/>
    <x v="19"/>
    <x v="0"/>
    <n v="2"/>
    <n v="30"/>
    <n v="60"/>
    <s v="60+"/>
    <x v="83"/>
    <n v="2023"/>
    <s v="T3-2023"/>
  </r>
  <r>
    <n v="574"/>
    <d v="2023-08-31T00:00:00"/>
    <x v="573"/>
    <x v="1"/>
    <x v="7"/>
    <x v="2"/>
    <n v="2"/>
    <n v="25"/>
    <n v="50"/>
    <s v="60+"/>
    <x v="25"/>
    <n v="2023"/>
    <s v="T3-2023"/>
  </r>
  <r>
    <n v="575"/>
    <d v="2023-03-28T00:00:00"/>
    <x v="574"/>
    <x v="0"/>
    <x v="43"/>
    <x v="1"/>
    <n v="2"/>
    <n v="50"/>
    <n v="100"/>
    <s v="60+"/>
    <x v="32"/>
    <n v="2023"/>
    <s v="T1-2023"/>
  </r>
  <r>
    <n v="576"/>
    <d v="2023-12-04T00:00:00"/>
    <x v="575"/>
    <x v="1"/>
    <x v="44"/>
    <x v="0"/>
    <n v="3"/>
    <n v="50"/>
    <n v="150"/>
    <s v="60+"/>
    <x v="76"/>
    <n v="2023"/>
    <s v="T4-2023"/>
  </r>
  <r>
    <n v="577"/>
    <d v="2023-02-13T00:00:00"/>
    <x v="576"/>
    <x v="0"/>
    <x v="34"/>
    <x v="0"/>
    <n v="4"/>
    <n v="500"/>
    <n v="2000"/>
    <s v="60+"/>
    <x v="1"/>
    <n v="2023"/>
    <s v="T1-2023"/>
  </r>
  <r>
    <n v="578"/>
    <d v="2023-05-26T00:00:00"/>
    <x v="577"/>
    <x v="1"/>
    <x v="31"/>
    <x v="1"/>
    <n v="4"/>
    <n v="30"/>
    <n v="120"/>
    <s v="60+"/>
    <x v="55"/>
    <n v="2023"/>
    <s v="T2-2023"/>
  </r>
  <r>
    <n v="579"/>
    <d v="2023-09-21T00:00:00"/>
    <x v="578"/>
    <x v="1"/>
    <x v="21"/>
    <x v="2"/>
    <n v="1"/>
    <n v="30"/>
    <n v="30"/>
    <s v="60+"/>
    <x v="72"/>
    <n v="2023"/>
    <s v="T3-2023"/>
  </r>
  <r>
    <n v="580"/>
    <d v="2023-12-06T00:00:00"/>
    <x v="579"/>
    <x v="1"/>
    <x v="33"/>
    <x v="1"/>
    <n v="3"/>
    <n v="500"/>
    <n v="1500"/>
    <s v="60+"/>
    <x v="8"/>
    <n v="2023"/>
    <s v="T4-2023"/>
  </r>
  <r>
    <n v="581"/>
    <d v="2023-11-21T00:00:00"/>
    <x v="580"/>
    <x v="1"/>
    <x v="27"/>
    <x v="0"/>
    <n v="2"/>
    <n v="30"/>
    <n v="60"/>
    <s v="60+"/>
    <x v="53"/>
    <n v="2023"/>
    <s v="T4-2023"/>
  </r>
  <r>
    <n v="582"/>
    <d v="2023-11-14T00:00:00"/>
    <x v="581"/>
    <x v="0"/>
    <x v="10"/>
    <x v="1"/>
    <n v="3"/>
    <n v="300"/>
    <n v="900"/>
    <s v="60+"/>
    <x v="53"/>
    <n v="2023"/>
    <s v="T4-2023"/>
  </r>
  <r>
    <n v="583"/>
    <d v="2023-06-21T00:00:00"/>
    <x v="582"/>
    <x v="1"/>
    <x v="46"/>
    <x v="2"/>
    <n v="4"/>
    <n v="25"/>
    <n v="100"/>
    <s v="60+"/>
    <x v="75"/>
    <n v="2023"/>
    <s v="T2-2023"/>
  </r>
  <r>
    <n v="584"/>
    <d v="2023-02-17T00:00:00"/>
    <x v="583"/>
    <x v="1"/>
    <x v="15"/>
    <x v="0"/>
    <n v="4"/>
    <n v="50"/>
    <n v="200"/>
    <s v="60+"/>
    <x v="15"/>
    <n v="2023"/>
    <s v="T1-2023"/>
  </r>
  <r>
    <n v="585"/>
    <d v="2023-05-01T00:00:00"/>
    <x v="584"/>
    <x v="1"/>
    <x v="46"/>
    <x v="1"/>
    <n v="1"/>
    <n v="25"/>
    <n v="25"/>
    <s v="60+"/>
    <x v="47"/>
    <n v="2023"/>
    <s v="T2-2023"/>
  </r>
  <r>
    <n v="586"/>
    <d v="2023-12-11T00:00:00"/>
    <x v="585"/>
    <x v="0"/>
    <x v="2"/>
    <x v="2"/>
    <n v="1"/>
    <n v="50"/>
    <n v="50"/>
    <s v="60+"/>
    <x v="76"/>
    <n v="2023"/>
    <s v="T4-2023"/>
  </r>
  <r>
    <n v="587"/>
    <d v="2023-06-08T00:00:00"/>
    <x v="586"/>
    <x v="1"/>
    <x v="30"/>
    <x v="0"/>
    <n v="4"/>
    <n v="300"/>
    <n v="1200"/>
    <s v="60+"/>
    <x v="34"/>
    <n v="2023"/>
    <s v="T2-2023"/>
  </r>
  <r>
    <n v="588"/>
    <d v="2023-04-26T00:00:00"/>
    <x v="587"/>
    <x v="0"/>
    <x v="21"/>
    <x v="2"/>
    <n v="2"/>
    <n v="30"/>
    <n v="60"/>
    <s v="60+"/>
    <x v="22"/>
    <n v="2023"/>
    <s v="T2-2023"/>
  </r>
  <r>
    <n v="589"/>
    <d v="2023-04-12T00:00:00"/>
    <x v="588"/>
    <x v="1"/>
    <x v="32"/>
    <x v="0"/>
    <n v="2"/>
    <n v="500"/>
    <n v="1000"/>
    <s v="60+"/>
    <x v="22"/>
    <n v="2023"/>
    <s v="T2-2023"/>
  </r>
  <r>
    <n v="590"/>
    <d v="2023-03-17T00:00:00"/>
    <x v="589"/>
    <x v="0"/>
    <x v="32"/>
    <x v="1"/>
    <n v="3"/>
    <n v="300"/>
    <n v="900"/>
    <s v="60+"/>
    <x v="73"/>
    <n v="2023"/>
    <s v="T1-2023"/>
  </r>
  <r>
    <n v="591"/>
    <d v="2023-01-13T00:00:00"/>
    <x v="590"/>
    <x v="0"/>
    <x v="45"/>
    <x v="2"/>
    <n v="4"/>
    <n v="25"/>
    <n v="100"/>
    <s v="60+"/>
    <x v="2"/>
    <n v="2023"/>
    <s v="T1-2023"/>
  </r>
  <r>
    <n v="592"/>
    <d v="2023-01-24T00:00:00"/>
    <x v="591"/>
    <x v="1"/>
    <x v="6"/>
    <x v="0"/>
    <n v="4"/>
    <n v="500"/>
    <n v="2000"/>
    <s v="60+"/>
    <x v="13"/>
    <n v="2023"/>
    <s v="T1-2023"/>
  </r>
  <r>
    <n v="593"/>
    <d v="2023-05-06T00:00:00"/>
    <x v="592"/>
    <x v="0"/>
    <x v="10"/>
    <x v="2"/>
    <n v="2"/>
    <n v="30"/>
    <n v="60"/>
    <s v="60+"/>
    <x v="4"/>
    <n v="2023"/>
    <s v="T2-2023"/>
  </r>
  <r>
    <n v="594"/>
    <d v="2023-09-01T00:00:00"/>
    <x v="593"/>
    <x v="1"/>
    <x v="14"/>
    <x v="2"/>
    <n v="2"/>
    <n v="300"/>
    <n v="600"/>
    <s v="60+"/>
    <x v="74"/>
    <n v="2023"/>
    <s v="T3-2023"/>
  </r>
  <r>
    <n v="595"/>
    <d v="2023-11-09T00:00:00"/>
    <x v="594"/>
    <x v="1"/>
    <x v="18"/>
    <x v="1"/>
    <n v="4"/>
    <n v="500"/>
    <n v="2000"/>
    <s v="60+"/>
    <x v="71"/>
    <n v="2023"/>
    <s v="T4-2023"/>
  </r>
  <r>
    <n v="596"/>
    <d v="2023-02-07T00:00:00"/>
    <x v="595"/>
    <x v="1"/>
    <x v="12"/>
    <x v="2"/>
    <n v="1"/>
    <n v="300"/>
    <n v="300"/>
    <s v="60+"/>
    <x v="10"/>
    <n v="2023"/>
    <s v="T1-2023"/>
  </r>
  <r>
    <n v="597"/>
    <d v="2023-08-22T00:00:00"/>
    <x v="596"/>
    <x v="0"/>
    <x v="11"/>
    <x v="0"/>
    <n v="4"/>
    <n v="300"/>
    <n v="1200"/>
    <s v="60+"/>
    <x v="65"/>
    <n v="2023"/>
    <s v="T3-2023"/>
  </r>
  <r>
    <n v="598"/>
    <d v="2023-08-01T00:00:00"/>
    <x v="597"/>
    <x v="0"/>
    <x v="3"/>
    <x v="0"/>
    <n v="4"/>
    <n v="30"/>
    <n v="120"/>
    <s v="60+"/>
    <x v="65"/>
    <n v="2023"/>
    <s v="T3-2023"/>
  </r>
  <r>
    <n v="599"/>
    <d v="2023-11-19T00:00:00"/>
    <x v="598"/>
    <x v="1"/>
    <x v="20"/>
    <x v="0"/>
    <n v="2"/>
    <n v="50"/>
    <n v="100"/>
    <s v="60+"/>
    <x v="19"/>
    <n v="2023"/>
    <s v="T4-2023"/>
  </r>
  <r>
    <n v="600"/>
    <d v="2023-10-22T00:00:00"/>
    <x v="599"/>
    <x v="1"/>
    <x v="42"/>
    <x v="0"/>
    <n v="2"/>
    <n v="500"/>
    <n v="1000"/>
    <s v="60+"/>
    <x v="21"/>
    <n v="2023"/>
    <s v="T4-2023"/>
  </r>
  <r>
    <n v="601"/>
    <d v="2023-04-10T00:00:00"/>
    <x v="600"/>
    <x v="0"/>
    <x v="14"/>
    <x v="1"/>
    <n v="1"/>
    <n v="30"/>
    <n v="30"/>
    <s v="60+"/>
    <x v="82"/>
    <n v="2023"/>
    <s v="T2-2023"/>
  </r>
  <r>
    <n v="602"/>
    <d v="2023-12-23T00:00:00"/>
    <x v="601"/>
    <x v="1"/>
    <x v="29"/>
    <x v="2"/>
    <n v="1"/>
    <n v="300"/>
    <n v="300"/>
    <s v="60+"/>
    <x v="52"/>
    <n v="2023"/>
    <s v="T4-2023"/>
  </r>
  <r>
    <n v="603"/>
    <d v="2023-07-16T00:00:00"/>
    <x v="602"/>
    <x v="1"/>
    <x v="30"/>
    <x v="1"/>
    <n v="3"/>
    <n v="30"/>
    <n v="90"/>
    <s v="60+"/>
    <x v="50"/>
    <n v="2023"/>
    <s v="T3-2023"/>
  </r>
  <r>
    <n v="604"/>
    <d v="2023-09-11T00:00:00"/>
    <x v="603"/>
    <x v="1"/>
    <x v="38"/>
    <x v="2"/>
    <n v="4"/>
    <n v="50"/>
    <n v="200"/>
    <s v="60+"/>
    <x v="67"/>
    <n v="2023"/>
    <s v="T3-2023"/>
  </r>
  <r>
    <n v="605"/>
    <d v="2023-07-24T00:00:00"/>
    <x v="604"/>
    <x v="0"/>
    <x v="3"/>
    <x v="2"/>
    <n v="2"/>
    <n v="500"/>
    <n v="1000"/>
    <s v="60+"/>
    <x v="37"/>
    <n v="2023"/>
    <s v="T3-2023"/>
  </r>
  <r>
    <n v="606"/>
    <d v="2023-05-05T00:00:00"/>
    <x v="605"/>
    <x v="0"/>
    <x v="11"/>
    <x v="2"/>
    <n v="1"/>
    <n v="50"/>
    <n v="50"/>
    <s v="60+"/>
    <x v="55"/>
    <n v="2023"/>
    <s v="T2-2023"/>
  </r>
  <r>
    <n v="607"/>
    <d v="2023-03-17T00:00:00"/>
    <x v="606"/>
    <x v="0"/>
    <x v="31"/>
    <x v="1"/>
    <n v="3"/>
    <n v="25"/>
    <n v="75"/>
    <s v="60+"/>
    <x v="73"/>
    <n v="2023"/>
    <s v="T1-2023"/>
  </r>
  <r>
    <n v="608"/>
    <d v="2023-12-02T00:00:00"/>
    <x v="607"/>
    <x v="1"/>
    <x v="28"/>
    <x v="2"/>
    <n v="3"/>
    <n v="500"/>
    <n v="1500"/>
    <s v="60+"/>
    <x v="52"/>
    <n v="2023"/>
    <s v="T4-2023"/>
  </r>
  <r>
    <n v="609"/>
    <d v="2023-12-19T00:00:00"/>
    <x v="608"/>
    <x v="1"/>
    <x v="16"/>
    <x v="1"/>
    <n v="2"/>
    <n v="50"/>
    <n v="100"/>
    <s v="60+"/>
    <x v="24"/>
    <n v="2023"/>
    <s v="T4-2023"/>
  </r>
  <r>
    <n v="610"/>
    <d v="2023-01-03T00:00:00"/>
    <x v="609"/>
    <x v="1"/>
    <x v="1"/>
    <x v="0"/>
    <n v="2"/>
    <n v="300"/>
    <n v="600"/>
    <s v="60+"/>
    <x v="13"/>
    <n v="2023"/>
    <s v="T1-2023"/>
  </r>
  <r>
    <n v="611"/>
    <d v="2023-02-24T00:00:00"/>
    <x v="610"/>
    <x v="0"/>
    <x v="25"/>
    <x v="0"/>
    <n v="3"/>
    <n v="500"/>
    <n v="1500"/>
    <s v="60+"/>
    <x v="15"/>
    <n v="2023"/>
    <s v="T1-2023"/>
  </r>
  <r>
    <n v="612"/>
    <d v="2023-08-06T00:00:00"/>
    <x v="611"/>
    <x v="1"/>
    <x v="39"/>
    <x v="2"/>
    <n v="1"/>
    <n v="500"/>
    <n v="500"/>
    <s v="60+"/>
    <x v="77"/>
    <n v="2023"/>
    <s v="T3-2023"/>
  </r>
  <r>
    <n v="613"/>
    <d v="2023-04-23T00:00:00"/>
    <x v="612"/>
    <x v="1"/>
    <x v="8"/>
    <x v="1"/>
    <n v="3"/>
    <n v="30"/>
    <n v="90"/>
    <s v="60+"/>
    <x v="17"/>
    <n v="2023"/>
    <s v="T2-2023"/>
  </r>
  <r>
    <n v="614"/>
    <d v="2023-04-01T00:00:00"/>
    <x v="613"/>
    <x v="1"/>
    <x v="23"/>
    <x v="0"/>
    <n v="4"/>
    <n v="300"/>
    <n v="1200"/>
    <s v="60+"/>
    <x v="16"/>
    <n v="2023"/>
    <s v="T2-2023"/>
  </r>
  <r>
    <n v="615"/>
    <d v="2023-12-23T00:00:00"/>
    <x v="614"/>
    <x v="1"/>
    <x v="39"/>
    <x v="1"/>
    <n v="4"/>
    <n v="25"/>
    <n v="100"/>
    <s v="60+"/>
    <x v="52"/>
    <n v="2023"/>
    <s v="T4-2023"/>
  </r>
  <r>
    <n v="616"/>
    <d v="2023-09-23T00:00:00"/>
    <x v="615"/>
    <x v="0"/>
    <x v="41"/>
    <x v="1"/>
    <n v="2"/>
    <n v="50"/>
    <n v="100"/>
    <s v="60+"/>
    <x v="18"/>
    <n v="2023"/>
    <s v="T3-2023"/>
  </r>
  <r>
    <n v="617"/>
    <d v="2023-08-26T00:00:00"/>
    <x v="616"/>
    <x v="0"/>
    <x v="0"/>
    <x v="2"/>
    <n v="1"/>
    <n v="30"/>
    <n v="30"/>
    <s v="60+"/>
    <x v="12"/>
    <n v="2023"/>
    <s v="T3-2023"/>
  </r>
  <r>
    <n v="618"/>
    <d v="2023-01-26T00:00:00"/>
    <x v="617"/>
    <x v="1"/>
    <x v="15"/>
    <x v="0"/>
    <n v="1"/>
    <n v="50"/>
    <n v="50"/>
    <s v="60+"/>
    <x v="79"/>
    <n v="2023"/>
    <s v="T1-2023"/>
  </r>
  <r>
    <n v="619"/>
    <d v="2023-10-13T00:00:00"/>
    <x v="618"/>
    <x v="0"/>
    <x v="16"/>
    <x v="2"/>
    <n v="4"/>
    <n v="25"/>
    <n v="100"/>
    <s v="60+"/>
    <x v="56"/>
    <n v="2023"/>
    <s v="T4-2023"/>
  </r>
  <r>
    <n v="620"/>
    <d v="2023-05-08T00:00:00"/>
    <x v="619"/>
    <x v="0"/>
    <x v="7"/>
    <x v="2"/>
    <n v="3"/>
    <n v="25"/>
    <n v="75"/>
    <s v="60+"/>
    <x v="47"/>
    <n v="2023"/>
    <s v="T2-2023"/>
  </r>
  <r>
    <n v="621"/>
    <d v="2023-03-04T00:00:00"/>
    <x v="620"/>
    <x v="1"/>
    <x v="30"/>
    <x v="0"/>
    <n v="2"/>
    <n v="500"/>
    <n v="1000"/>
    <s v="60+"/>
    <x v="49"/>
    <n v="2023"/>
    <s v="T1-2023"/>
  </r>
  <r>
    <n v="622"/>
    <d v="2023-08-22T00:00:00"/>
    <x v="621"/>
    <x v="1"/>
    <x v="19"/>
    <x v="0"/>
    <n v="3"/>
    <n v="25"/>
    <n v="75"/>
    <s v="60+"/>
    <x v="65"/>
    <n v="2023"/>
    <s v="T3-2023"/>
  </r>
  <r>
    <n v="623"/>
    <d v="2023-03-10T00:00:00"/>
    <x v="622"/>
    <x v="0"/>
    <x v="0"/>
    <x v="1"/>
    <n v="3"/>
    <n v="50"/>
    <n v="150"/>
    <s v="60+"/>
    <x v="73"/>
    <n v="2023"/>
    <s v="T1-2023"/>
  </r>
  <r>
    <n v="624"/>
    <d v="2023-08-26T00:00:00"/>
    <x v="623"/>
    <x v="1"/>
    <x v="0"/>
    <x v="0"/>
    <n v="3"/>
    <n v="300"/>
    <n v="900"/>
    <s v="60+"/>
    <x v="12"/>
    <n v="2023"/>
    <s v="T3-2023"/>
  </r>
  <r>
    <n v="625"/>
    <d v="2023-12-08T00:00:00"/>
    <x v="624"/>
    <x v="0"/>
    <x v="33"/>
    <x v="1"/>
    <n v="1"/>
    <n v="300"/>
    <n v="300"/>
    <s v="60+"/>
    <x v="70"/>
    <n v="2023"/>
    <s v="T4-2023"/>
  </r>
  <r>
    <n v="626"/>
    <d v="2023-09-29T00:00:00"/>
    <x v="625"/>
    <x v="1"/>
    <x v="1"/>
    <x v="1"/>
    <n v="4"/>
    <n v="500"/>
    <n v="2000"/>
    <s v="60+"/>
    <x v="74"/>
    <n v="2023"/>
    <s v="T3-2023"/>
  </r>
  <r>
    <n v="627"/>
    <d v="2023-10-14T00:00:00"/>
    <x v="626"/>
    <x v="0"/>
    <x v="35"/>
    <x v="1"/>
    <n v="1"/>
    <n v="50"/>
    <n v="50"/>
    <s v="60+"/>
    <x v="9"/>
    <n v="2023"/>
    <s v="T4-2023"/>
  </r>
  <r>
    <n v="628"/>
    <d v="2023-11-01T00:00:00"/>
    <x v="627"/>
    <x v="1"/>
    <x v="14"/>
    <x v="0"/>
    <n v="4"/>
    <n v="50"/>
    <n v="200"/>
    <s v="60+"/>
    <x v="23"/>
    <n v="2023"/>
    <s v="T4-2023"/>
  </r>
  <r>
    <n v="629"/>
    <d v="2023-06-12T00:00:00"/>
    <x v="628"/>
    <x v="0"/>
    <x v="17"/>
    <x v="2"/>
    <n v="2"/>
    <n v="25"/>
    <n v="50"/>
    <s v="60+"/>
    <x v="38"/>
    <n v="2023"/>
    <s v="T2-2023"/>
  </r>
  <r>
    <n v="630"/>
    <d v="2023-08-15T00:00:00"/>
    <x v="629"/>
    <x v="0"/>
    <x v="13"/>
    <x v="1"/>
    <n v="2"/>
    <n v="50"/>
    <n v="100"/>
    <s v="60+"/>
    <x v="65"/>
    <n v="2023"/>
    <s v="T3-2023"/>
  </r>
  <r>
    <n v="631"/>
    <d v="2023-11-10T00:00:00"/>
    <x v="630"/>
    <x v="0"/>
    <x v="37"/>
    <x v="2"/>
    <n v="3"/>
    <n v="30"/>
    <n v="90"/>
    <s v="60+"/>
    <x v="0"/>
    <n v="2023"/>
    <s v="T4-2023"/>
  </r>
  <r>
    <n v="632"/>
    <d v="2023-09-16T00:00:00"/>
    <x v="631"/>
    <x v="1"/>
    <x v="1"/>
    <x v="2"/>
    <n v="4"/>
    <n v="25"/>
    <n v="100"/>
    <s v="60+"/>
    <x v="18"/>
    <n v="2023"/>
    <s v="T3-2023"/>
  </r>
  <r>
    <n v="633"/>
    <d v="2023-08-07T00:00:00"/>
    <x v="632"/>
    <x v="0"/>
    <x v="23"/>
    <x v="0"/>
    <n v="4"/>
    <n v="30"/>
    <n v="120"/>
    <s v="60+"/>
    <x v="48"/>
    <n v="2023"/>
    <s v="T3-2023"/>
  </r>
  <r>
    <n v="634"/>
    <d v="2023-10-08T00:00:00"/>
    <x v="633"/>
    <x v="0"/>
    <x v="43"/>
    <x v="2"/>
    <n v="4"/>
    <n v="500"/>
    <n v="2000"/>
    <s v="60+"/>
    <x v="21"/>
    <n v="2023"/>
    <s v="T4-2023"/>
  </r>
  <r>
    <n v="635"/>
    <d v="2023-08-17T00:00:00"/>
    <x v="634"/>
    <x v="1"/>
    <x v="7"/>
    <x v="2"/>
    <n v="3"/>
    <n v="300"/>
    <n v="900"/>
    <s v="60+"/>
    <x v="25"/>
    <n v="2023"/>
    <s v="T3-2023"/>
  </r>
  <r>
    <n v="636"/>
    <d v="2023-03-23T00:00:00"/>
    <x v="635"/>
    <x v="1"/>
    <x v="34"/>
    <x v="0"/>
    <n v="3"/>
    <n v="500"/>
    <n v="1500"/>
    <s v="60+"/>
    <x v="29"/>
    <n v="2023"/>
    <s v="T1-2023"/>
  </r>
  <r>
    <n v="637"/>
    <d v="2023-09-01T00:00:00"/>
    <x v="636"/>
    <x v="0"/>
    <x v="22"/>
    <x v="1"/>
    <n v="2"/>
    <n v="300"/>
    <n v="600"/>
    <s v="60+"/>
    <x v="74"/>
    <n v="2023"/>
    <s v="T3-2023"/>
  </r>
  <r>
    <n v="638"/>
    <d v="2023-08-19T00:00:00"/>
    <x v="637"/>
    <x v="0"/>
    <x v="6"/>
    <x v="2"/>
    <n v="1"/>
    <n v="500"/>
    <n v="500"/>
    <s v="60+"/>
    <x v="12"/>
    <n v="2023"/>
    <s v="T3-2023"/>
  </r>
  <r>
    <n v="639"/>
    <d v="2023-05-13T00:00:00"/>
    <x v="638"/>
    <x v="1"/>
    <x v="17"/>
    <x v="0"/>
    <n v="4"/>
    <n v="50"/>
    <n v="200"/>
    <s v="60+"/>
    <x v="4"/>
    <n v="2023"/>
    <s v="T2-2023"/>
  </r>
  <r>
    <n v="640"/>
    <d v="2023-05-07T00:00:00"/>
    <x v="639"/>
    <x v="1"/>
    <x v="25"/>
    <x v="2"/>
    <n v="4"/>
    <n v="30"/>
    <n v="120"/>
    <s v="60+"/>
    <x v="3"/>
    <n v="2023"/>
    <s v="T2-2023"/>
  </r>
  <r>
    <n v="641"/>
    <d v="2023-11-23T00:00:00"/>
    <x v="640"/>
    <x v="1"/>
    <x v="30"/>
    <x v="2"/>
    <n v="1"/>
    <n v="300"/>
    <n v="300"/>
    <s v="60+"/>
    <x v="71"/>
    <n v="2023"/>
    <s v="T4-2023"/>
  </r>
  <r>
    <n v="642"/>
    <d v="2023-05-22T00:00:00"/>
    <x v="641"/>
    <x v="1"/>
    <x v="31"/>
    <x v="1"/>
    <n v="4"/>
    <n v="25"/>
    <n v="100"/>
    <s v="60+"/>
    <x v="47"/>
    <n v="2023"/>
    <s v="T2-2023"/>
  </r>
  <r>
    <n v="643"/>
    <d v="2023-09-24T00:00:00"/>
    <x v="642"/>
    <x v="1"/>
    <x v="20"/>
    <x v="2"/>
    <n v="3"/>
    <n v="30"/>
    <n v="90"/>
    <s v="60+"/>
    <x v="68"/>
    <n v="2023"/>
    <s v="T3-2023"/>
  </r>
  <r>
    <n v="644"/>
    <d v="2023-09-06T00:00:00"/>
    <x v="643"/>
    <x v="0"/>
    <x v="9"/>
    <x v="0"/>
    <n v="3"/>
    <n v="25"/>
    <n v="75"/>
    <s v="60+"/>
    <x v="63"/>
    <n v="2023"/>
    <s v="T3-2023"/>
  </r>
  <r>
    <n v="645"/>
    <d v="2023-11-17T00:00:00"/>
    <x v="644"/>
    <x v="1"/>
    <x v="10"/>
    <x v="2"/>
    <n v="4"/>
    <n v="30"/>
    <n v="120"/>
    <s v="60+"/>
    <x v="0"/>
    <n v="2023"/>
    <s v="T4-2023"/>
  </r>
  <r>
    <n v="646"/>
    <d v="2023-05-03T00:00:00"/>
    <x v="645"/>
    <x v="0"/>
    <x v="21"/>
    <x v="1"/>
    <n v="3"/>
    <n v="30"/>
    <n v="90"/>
    <s v="60+"/>
    <x v="43"/>
    <n v="2023"/>
    <s v="T2-2023"/>
  </r>
  <r>
    <n v="647"/>
    <d v="2023-05-21T00:00:00"/>
    <x v="646"/>
    <x v="0"/>
    <x v="42"/>
    <x v="1"/>
    <n v="3"/>
    <n v="500"/>
    <n v="1500"/>
    <s v="60+"/>
    <x v="3"/>
    <n v="2023"/>
    <s v="T2-2023"/>
  </r>
  <r>
    <n v="648"/>
    <d v="2023-08-14T00:00:00"/>
    <x v="647"/>
    <x v="0"/>
    <x v="45"/>
    <x v="0"/>
    <n v="4"/>
    <n v="300"/>
    <n v="1200"/>
    <s v="60+"/>
    <x v="48"/>
    <n v="2023"/>
    <s v="T3-2023"/>
  </r>
  <r>
    <n v="649"/>
    <d v="2023-02-09T00:00:00"/>
    <x v="648"/>
    <x v="1"/>
    <x v="26"/>
    <x v="1"/>
    <n v="2"/>
    <n v="300"/>
    <n v="600"/>
    <s v="60+"/>
    <x v="69"/>
    <n v="2023"/>
    <s v="T1-2023"/>
  </r>
  <r>
    <n v="650"/>
    <d v="2024-01-01T00:00:00"/>
    <x v="649"/>
    <x v="0"/>
    <x v="28"/>
    <x v="2"/>
    <n v="1"/>
    <n v="30"/>
    <n v="30"/>
    <s v="60+"/>
    <x v="14"/>
    <n v="2024"/>
    <s v="T1-2024"/>
  </r>
  <r>
    <n v="651"/>
    <d v="2023-05-27T00:00:00"/>
    <x v="650"/>
    <x v="0"/>
    <x v="25"/>
    <x v="1"/>
    <n v="3"/>
    <n v="50"/>
    <n v="150"/>
    <s v="60+"/>
    <x v="4"/>
    <n v="2023"/>
    <s v="T2-2023"/>
  </r>
  <r>
    <n v="652"/>
    <d v="2023-05-01T00:00:00"/>
    <x v="651"/>
    <x v="1"/>
    <x v="0"/>
    <x v="0"/>
    <n v="2"/>
    <n v="50"/>
    <n v="100"/>
    <s v="60+"/>
    <x v="47"/>
    <n v="2023"/>
    <s v="T2-2023"/>
  </r>
  <r>
    <n v="653"/>
    <d v="2023-05-20T00:00:00"/>
    <x v="652"/>
    <x v="0"/>
    <x v="31"/>
    <x v="1"/>
    <n v="3"/>
    <n v="25"/>
    <n v="75"/>
    <s v="60+"/>
    <x v="4"/>
    <n v="2023"/>
    <s v="T2-2023"/>
  </r>
  <r>
    <n v="654"/>
    <d v="2023-06-21T00:00:00"/>
    <x v="653"/>
    <x v="0"/>
    <x v="13"/>
    <x v="1"/>
    <n v="3"/>
    <n v="25"/>
    <n v="75"/>
    <s v="60+"/>
    <x v="75"/>
    <n v="2023"/>
    <s v="T2-2023"/>
  </r>
  <r>
    <n v="655"/>
    <d v="2023-06-13T00:00:00"/>
    <x v="654"/>
    <x v="1"/>
    <x v="28"/>
    <x v="1"/>
    <n v="1"/>
    <n v="500"/>
    <n v="500"/>
    <s v="60+"/>
    <x v="80"/>
    <n v="2023"/>
    <s v="T2-2023"/>
  </r>
  <r>
    <n v="656"/>
    <d v="2023-10-04T00:00:00"/>
    <x v="655"/>
    <x v="0"/>
    <x v="38"/>
    <x v="0"/>
    <n v="3"/>
    <n v="30"/>
    <n v="90"/>
    <s v="60+"/>
    <x v="62"/>
    <n v="2023"/>
    <s v="T4-2023"/>
  </r>
  <r>
    <n v="657"/>
    <d v="2023-02-11T00:00:00"/>
    <x v="656"/>
    <x v="0"/>
    <x v="30"/>
    <x v="1"/>
    <n v="1"/>
    <n v="25"/>
    <n v="25"/>
    <s v="60+"/>
    <x v="78"/>
    <n v="2023"/>
    <s v="T1-2023"/>
  </r>
  <r>
    <n v="658"/>
    <d v="2023-03-12T00:00:00"/>
    <x v="657"/>
    <x v="0"/>
    <x v="42"/>
    <x v="1"/>
    <n v="1"/>
    <n v="25"/>
    <n v="25"/>
    <s v="60+"/>
    <x v="40"/>
    <n v="2023"/>
    <s v="T1-2023"/>
  </r>
  <r>
    <n v="659"/>
    <d v="2023-03-19T00:00:00"/>
    <x v="658"/>
    <x v="1"/>
    <x v="23"/>
    <x v="2"/>
    <n v="1"/>
    <n v="30"/>
    <n v="30"/>
    <s v="60+"/>
    <x v="40"/>
    <n v="2023"/>
    <s v="T1-2023"/>
  </r>
  <r>
    <n v="660"/>
    <d v="2023-04-29T00:00:00"/>
    <x v="659"/>
    <x v="1"/>
    <x v="21"/>
    <x v="0"/>
    <n v="2"/>
    <n v="500"/>
    <n v="1000"/>
    <s v="60+"/>
    <x v="16"/>
    <n v="2023"/>
    <s v="T2-2023"/>
  </r>
  <r>
    <n v="661"/>
    <d v="2023-07-16T00:00:00"/>
    <x v="660"/>
    <x v="1"/>
    <x v="24"/>
    <x v="1"/>
    <n v="4"/>
    <n v="25"/>
    <n v="100"/>
    <s v="60+"/>
    <x v="50"/>
    <n v="2023"/>
    <s v="T3-2023"/>
  </r>
  <r>
    <n v="662"/>
    <d v="2023-12-22T00:00:00"/>
    <x v="661"/>
    <x v="0"/>
    <x v="27"/>
    <x v="0"/>
    <n v="2"/>
    <n v="500"/>
    <n v="1000"/>
    <s v="60+"/>
    <x v="70"/>
    <n v="2023"/>
    <s v="T4-2023"/>
  </r>
  <r>
    <n v="663"/>
    <d v="2023-03-20T00:00:00"/>
    <x v="662"/>
    <x v="0"/>
    <x v="9"/>
    <x v="1"/>
    <n v="4"/>
    <n v="300"/>
    <n v="1200"/>
    <s v="60+"/>
    <x v="6"/>
    <n v="2023"/>
    <s v="T1-2023"/>
  </r>
  <r>
    <n v="664"/>
    <d v="2023-12-28T00:00:00"/>
    <x v="663"/>
    <x v="1"/>
    <x v="24"/>
    <x v="1"/>
    <n v="4"/>
    <n v="500"/>
    <n v="2000"/>
    <s v="60+"/>
    <x v="81"/>
    <n v="2023"/>
    <s v="T4-2023"/>
  </r>
  <r>
    <n v="665"/>
    <d v="2023-04-20T00:00:00"/>
    <x v="664"/>
    <x v="0"/>
    <x v="35"/>
    <x v="1"/>
    <n v="1"/>
    <n v="50"/>
    <n v="50"/>
    <s v="60+"/>
    <x v="46"/>
    <n v="2023"/>
    <s v="T2-2023"/>
  </r>
  <r>
    <n v="666"/>
    <d v="2023-02-02T00:00:00"/>
    <x v="665"/>
    <x v="0"/>
    <x v="25"/>
    <x v="2"/>
    <n v="3"/>
    <n v="50"/>
    <n v="150"/>
    <s v="60+"/>
    <x v="69"/>
    <n v="2023"/>
    <s v="T1-2023"/>
  </r>
  <r>
    <n v="667"/>
    <d v="2023-08-01T00:00:00"/>
    <x v="666"/>
    <x v="1"/>
    <x v="38"/>
    <x v="2"/>
    <n v="1"/>
    <n v="500"/>
    <n v="500"/>
    <s v="60+"/>
    <x v="65"/>
    <n v="2023"/>
    <s v="T3-2023"/>
  </r>
  <r>
    <n v="668"/>
    <d v="2023-07-28T00:00:00"/>
    <x v="667"/>
    <x v="1"/>
    <x v="17"/>
    <x v="2"/>
    <n v="3"/>
    <n v="50"/>
    <n v="150"/>
    <s v="60+"/>
    <x v="35"/>
    <n v="2023"/>
    <s v="T3-2023"/>
  </r>
  <r>
    <n v="669"/>
    <d v="2023-06-19T00:00:00"/>
    <x v="668"/>
    <x v="0"/>
    <x v="46"/>
    <x v="0"/>
    <n v="4"/>
    <n v="300"/>
    <n v="1200"/>
    <s v="60+"/>
    <x v="38"/>
    <n v="2023"/>
    <s v="T2-2023"/>
  </r>
  <r>
    <n v="670"/>
    <d v="2023-10-05T00:00:00"/>
    <x v="669"/>
    <x v="0"/>
    <x v="15"/>
    <x v="0"/>
    <n v="1"/>
    <n v="30"/>
    <n v="30"/>
    <s v="60+"/>
    <x v="66"/>
    <n v="2023"/>
    <s v="T4-2023"/>
  </r>
  <r>
    <n v="671"/>
    <d v="2023-08-27T00:00:00"/>
    <x v="670"/>
    <x v="0"/>
    <x v="17"/>
    <x v="2"/>
    <n v="3"/>
    <n v="50"/>
    <n v="150"/>
    <s v="60+"/>
    <x v="77"/>
    <n v="2023"/>
    <s v="T3-2023"/>
  </r>
  <r>
    <n v="672"/>
    <d v="2023-08-01T00:00:00"/>
    <x v="671"/>
    <x v="1"/>
    <x v="0"/>
    <x v="0"/>
    <n v="2"/>
    <n v="50"/>
    <n v="100"/>
    <s v="60+"/>
    <x v="65"/>
    <n v="2023"/>
    <s v="T3-2023"/>
  </r>
  <r>
    <n v="673"/>
    <d v="2023-02-01T00:00:00"/>
    <x v="672"/>
    <x v="1"/>
    <x v="22"/>
    <x v="1"/>
    <n v="3"/>
    <n v="500"/>
    <n v="1500"/>
    <s v="60+"/>
    <x v="7"/>
    <n v="2023"/>
    <s v="T1-2023"/>
  </r>
  <r>
    <n v="674"/>
    <d v="2023-04-16T00:00:00"/>
    <x v="673"/>
    <x v="1"/>
    <x v="21"/>
    <x v="1"/>
    <n v="1"/>
    <n v="300"/>
    <n v="300"/>
    <s v="60+"/>
    <x v="17"/>
    <n v="2023"/>
    <s v="T2-2023"/>
  </r>
  <r>
    <n v="675"/>
    <d v="2023-08-04T00:00:00"/>
    <x v="674"/>
    <x v="1"/>
    <x v="5"/>
    <x v="1"/>
    <n v="2"/>
    <n v="30"/>
    <n v="60"/>
    <s v="60+"/>
    <x v="26"/>
    <n v="2023"/>
    <s v="T3-2023"/>
  </r>
  <r>
    <n v="676"/>
    <d v="2023-07-19T00:00:00"/>
    <x v="675"/>
    <x v="0"/>
    <x v="7"/>
    <x v="2"/>
    <n v="3"/>
    <n v="500"/>
    <n v="1500"/>
    <s v="60+"/>
    <x v="45"/>
    <n v="2023"/>
    <s v="T3-2023"/>
  </r>
  <r>
    <n v="677"/>
    <d v="2023-10-27T00:00:00"/>
    <x v="676"/>
    <x v="1"/>
    <x v="14"/>
    <x v="0"/>
    <n v="3"/>
    <n v="500"/>
    <n v="1500"/>
    <s v="60+"/>
    <x v="56"/>
    <n v="2023"/>
    <s v="T4-2023"/>
  </r>
  <r>
    <n v="678"/>
    <d v="2023-12-23T00:00:00"/>
    <x v="677"/>
    <x v="1"/>
    <x v="43"/>
    <x v="2"/>
    <n v="3"/>
    <n v="300"/>
    <n v="900"/>
    <s v="60+"/>
    <x v="52"/>
    <n v="2023"/>
    <s v="T4-2023"/>
  </r>
  <r>
    <n v="679"/>
    <d v="2023-01-11T00:00:00"/>
    <x v="678"/>
    <x v="1"/>
    <x v="18"/>
    <x v="0"/>
    <n v="3"/>
    <n v="30"/>
    <n v="90"/>
    <s v="60+"/>
    <x v="28"/>
    <n v="2023"/>
    <s v="T1-2023"/>
  </r>
  <r>
    <n v="680"/>
    <d v="2023-10-22T00:00:00"/>
    <x v="679"/>
    <x v="1"/>
    <x v="45"/>
    <x v="1"/>
    <n v="3"/>
    <n v="300"/>
    <n v="900"/>
    <s v="60+"/>
    <x v="21"/>
    <n v="2023"/>
    <s v="T4-2023"/>
  </r>
  <r>
    <n v="681"/>
    <d v="2023-07-14T00:00:00"/>
    <x v="680"/>
    <x v="1"/>
    <x v="22"/>
    <x v="2"/>
    <n v="2"/>
    <n v="30"/>
    <n v="60"/>
    <s v="60+"/>
    <x v="35"/>
    <n v="2023"/>
    <s v="T3-2023"/>
  </r>
  <r>
    <n v="682"/>
    <d v="2023-09-02T00:00:00"/>
    <x v="681"/>
    <x v="0"/>
    <x v="6"/>
    <x v="0"/>
    <n v="4"/>
    <n v="300"/>
    <n v="1200"/>
    <s v="60+"/>
    <x v="18"/>
    <n v="2023"/>
    <s v="T3-2023"/>
  </r>
  <r>
    <n v="683"/>
    <d v="2023-01-04T00:00:00"/>
    <x v="682"/>
    <x v="0"/>
    <x v="21"/>
    <x v="0"/>
    <n v="2"/>
    <n v="500"/>
    <n v="1000"/>
    <s v="60+"/>
    <x v="28"/>
    <n v="2023"/>
    <s v="T1-2023"/>
  </r>
  <r>
    <n v="684"/>
    <d v="2023-06-30T00:00:00"/>
    <x v="683"/>
    <x v="1"/>
    <x v="20"/>
    <x v="1"/>
    <n v="2"/>
    <n v="500"/>
    <n v="1000"/>
    <s v="60+"/>
    <x v="57"/>
    <n v="2023"/>
    <s v="T2-2023"/>
  </r>
  <r>
    <n v="685"/>
    <d v="2023-06-02T00:00:00"/>
    <x v="684"/>
    <x v="0"/>
    <x v="35"/>
    <x v="2"/>
    <n v="2"/>
    <n v="25"/>
    <n v="50"/>
    <s v="60+"/>
    <x v="57"/>
    <n v="2023"/>
    <s v="T2-2023"/>
  </r>
  <r>
    <n v="686"/>
    <d v="2023-07-19T00:00:00"/>
    <x v="685"/>
    <x v="1"/>
    <x v="20"/>
    <x v="2"/>
    <n v="4"/>
    <n v="50"/>
    <n v="200"/>
    <s v="60+"/>
    <x v="45"/>
    <n v="2023"/>
    <s v="T3-2023"/>
  </r>
  <r>
    <n v="687"/>
    <d v="2023-08-03T00:00:00"/>
    <x v="686"/>
    <x v="1"/>
    <x v="45"/>
    <x v="2"/>
    <n v="1"/>
    <n v="300"/>
    <n v="300"/>
    <s v="60+"/>
    <x v="25"/>
    <n v="2023"/>
    <s v="T3-2023"/>
  </r>
  <r>
    <n v="688"/>
    <d v="2023-10-03T00:00:00"/>
    <x v="687"/>
    <x v="0"/>
    <x v="37"/>
    <x v="1"/>
    <n v="4"/>
    <n v="25"/>
    <n v="100"/>
    <s v="60+"/>
    <x v="42"/>
    <n v="2023"/>
    <s v="T4-2023"/>
  </r>
  <r>
    <n v="689"/>
    <d v="2023-10-07T00:00:00"/>
    <x v="688"/>
    <x v="0"/>
    <x v="35"/>
    <x v="2"/>
    <n v="2"/>
    <n v="50"/>
    <n v="100"/>
    <s v="60+"/>
    <x v="9"/>
    <n v="2023"/>
    <s v="T4-2023"/>
  </r>
  <r>
    <n v="690"/>
    <d v="2023-11-05T00:00:00"/>
    <x v="689"/>
    <x v="1"/>
    <x v="8"/>
    <x v="1"/>
    <n v="3"/>
    <n v="300"/>
    <n v="900"/>
    <s v="60+"/>
    <x v="19"/>
    <n v="2023"/>
    <s v="T4-2023"/>
  </r>
  <r>
    <n v="691"/>
    <d v="2023-04-23T00:00:00"/>
    <x v="690"/>
    <x v="1"/>
    <x v="25"/>
    <x v="1"/>
    <n v="3"/>
    <n v="30"/>
    <n v="90"/>
    <s v="60+"/>
    <x v="17"/>
    <n v="2023"/>
    <s v="T2-2023"/>
  </r>
  <r>
    <n v="692"/>
    <d v="2023-09-07T00:00:00"/>
    <x v="691"/>
    <x v="1"/>
    <x v="12"/>
    <x v="1"/>
    <n v="2"/>
    <n v="50"/>
    <n v="100"/>
    <s v="60+"/>
    <x v="72"/>
    <n v="2023"/>
    <s v="T3-2023"/>
  </r>
  <r>
    <n v="693"/>
    <d v="2023-04-23T00:00:00"/>
    <x v="692"/>
    <x v="0"/>
    <x v="41"/>
    <x v="0"/>
    <n v="3"/>
    <n v="500"/>
    <n v="1500"/>
    <s v="60+"/>
    <x v="17"/>
    <n v="2023"/>
    <s v="T2-2023"/>
  </r>
  <r>
    <n v="694"/>
    <d v="2023-05-20T00:00:00"/>
    <x v="693"/>
    <x v="1"/>
    <x v="23"/>
    <x v="2"/>
    <n v="2"/>
    <n v="25"/>
    <n v="50"/>
    <s v="60+"/>
    <x v="4"/>
    <n v="2023"/>
    <s v="T2-2023"/>
  </r>
  <r>
    <n v="695"/>
    <d v="2023-08-12T00:00:00"/>
    <x v="694"/>
    <x v="1"/>
    <x v="11"/>
    <x v="2"/>
    <n v="3"/>
    <n v="50"/>
    <n v="150"/>
    <s v="60+"/>
    <x v="12"/>
    <n v="2023"/>
    <s v="T3-2023"/>
  </r>
  <r>
    <n v="696"/>
    <d v="2023-09-06T00:00:00"/>
    <x v="695"/>
    <x v="1"/>
    <x v="2"/>
    <x v="1"/>
    <n v="4"/>
    <n v="50"/>
    <n v="200"/>
    <s v="60+"/>
    <x v="63"/>
    <n v="2023"/>
    <s v="T3-2023"/>
  </r>
  <r>
    <n v="697"/>
    <d v="2023-01-15T00:00:00"/>
    <x v="696"/>
    <x v="0"/>
    <x v="45"/>
    <x v="1"/>
    <n v="1"/>
    <n v="500"/>
    <n v="500"/>
    <s v="60+"/>
    <x v="58"/>
    <n v="2023"/>
    <s v="T1-2023"/>
  </r>
  <r>
    <n v="698"/>
    <d v="2023-07-19T00:00:00"/>
    <x v="697"/>
    <x v="1"/>
    <x v="12"/>
    <x v="2"/>
    <n v="1"/>
    <n v="300"/>
    <n v="300"/>
    <s v="60+"/>
    <x v="45"/>
    <n v="2023"/>
    <s v="T3-2023"/>
  </r>
  <r>
    <n v="699"/>
    <d v="2023-06-22T00:00:00"/>
    <x v="698"/>
    <x v="1"/>
    <x v="3"/>
    <x v="1"/>
    <n v="4"/>
    <n v="30"/>
    <n v="120"/>
    <s v="60+"/>
    <x v="34"/>
    <n v="2023"/>
    <s v="T2-2023"/>
  </r>
  <r>
    <n v="700"/>
    <d v="2023-12-09T00:00:00"/>
    <x v="699"/>
    <x v="0"/>
    <x v="32"/>
    <x v="2"/>
    <n v="4"/>
    <n v="500"/>
    <n v="2000"/>
    <s v="60+"/>
    <x v="52"/>
    <n v="2023"/>
    <s v="T4-2023"/>
  </r>
  <r>
    <n v="701"/>
    <d v="2023-12-14T00:00:00"/>
    <x v="700"/>
    <x v="1"/>
    <x v="8"/>
    <x v="0"/>
    <n v="2"/>
    <n v="30"/>
    <n v="60"/>
    <s v="60+"/>
    <x v="81"/>
    <n v="2023"/>
    <s v="T4-2023"/>
  </r>
  <r>
    <n v="702"/>
    <d v="2023-07-27T00:00:00"/>
    <x v="701"/>
    <x v="1"/>
    <x v="43"/>
    <x v="1"/>
    <n v="2"/>
    <n v="300"/>
    <n v="600"/>
    <s v="60+"/>
    <x v="41"/>
    <n v="2023"/>
    <s v="T3-2023"/>
  </r>
  <r>
    <n v="703"/>
    <d v="2023-03-26T00:00:00"/>
    <x v="702"/>
    <x v="0"/>
    <x v="0"/>
    <x v="2"/>
    <n v="2"/>
    <n v="50"/>
    <n v="100"/>
    <s v="60+"/>
    <x v="40"/>
    <n v="2023"/>
    <s v="T1-2023"/>
  </r>
  <r>
    <n v="704"/>
    <d v="2023-08-28T00:00:00"/>
    <x v="703"/>
    <x v="1"/>
    <x v="17"/>
    <x v="1"/>
    <n v="3"/>
    <n v="30"/>
    <n v="90"/>
    <s v="60+"/>
    <x v="48"/>
    <n v="2023"/>
    <s v="T3-2023"/>
  </r>
  <r>
    <n v="705"/>
    <d v="2023-03-07T00:00:00"/>
    <x v="704"/>
    <x v="0"/>
    <x v="43"/>
    <x v="2"/>
    <n v="2"/>
    <n v="25"/>
    <n v="50"/>
    <s v="60+"/>
    <x v="32"/>
    <n v="2023"/>
    <s v="T1-2023"/>
  </r>
  <r>
    <n v="706"/>
    <d v="2023-11-15T00:00:00"/>
    <x v="705"/>
    <x v="0"/>
    <x v="25"/>
    <x v="2"/>
    <n v="4"/>
    <n v="25"/>
    <n v="100"/>
    <s v="60+"/>
    <x v="23"/>
    <n v="2023"/>
    <s v="T4-2023"/>
  </r>
  <r>
    <n v="707"/>
    <d v="2023-10-01T00:00:00"/>
    <x v="706"/>
    <x v="1"/>
    <x v="1"/>
    <x v="1"/>
    <n v="1"/>
    <n v="500"/>
    <n v="500"/>
    <s v="60+"/>
    <x v="21"/>
    <n v="2023"/>
    <s v="T4-2023"/>
  </r>
  <r>
    <n v="708"/>
    <d v="2023-01-14T00:00:00"/>
    <x v="707"/>
    <x v="1"/>
    <x v="22"/>
    <x v="0"/>
    <n v="3"/>
    <n v="300"/>
    <n v="900"/>
    <s v="60+"/>
    <x v="20"/>
    <n v="2023"/>
    <s v="T1-2023"/>
  </r>
  <r>
    <n v="709"/>
    <d v="2023-07-21T00:00:00"/>
    <x v="708"/>
    <x v="1"/>
    <x v="14"/>
    <x v="2"/>
    <n v="2"/>
    <n v="500"/>
    <n v="1000"/>
    <s v="60+"/>
    <x v="35"/>
    <n v="2023"/>
    <s v="T3-2023"/>
  </r>
  <r>
    <n v="710"/>
    <d v="2023-10-31T00:00:00"/>
    <x v="709"/>
    <x v="1"/>
    <x v="1"/>
    <x v="2"/>
    <n v="3"/>
    <n v="500"/>
    <n v="1500"/>
    <s v="60+"/>
    <x v="42"/>
    <n v="2023"/>
    <s v="T4-2023"/>
  </r>
  <r>
    <n v="711"/>
    <d v="2023-10-16T00:00:00"/>
    <x v="710"/>
    <x v="0"/>
    <x v="1"/>
    <x v="2"/>
    <n v="3"/>
    <n v="500"/>
    <n v="1500"/>
    <s v="60+"/>
    <x v="11"/>
    <n v="2023"/>
    <s v="T4-2023"/>
  </r>
  <r>
    <n v="712"/>
    <d v="2023-12-06T00:00:00"/>
    <x v="711"/>
    <x v="1"/>
    <x v="35"/>
    <x v="0"/>
    <n v="2"/>
    <n v="25"/>
    <n v="50"/>
    <s v="60+"/>
    <x v="8"/>
    <n v="2023"/>
    <s v="T4-2023"/>
  </r>
  <r>
    <n v="713"/>
    <d v="2023-01-14T00:00:00"/>
    <x v="712"/>
    <x v="0"/>
    <x v="0"/>
    <x v="0"/>
    <n v="3"/>
    <n v="25"/>
    <n v="75"/>
    <s v="60+"/>
    <x v="20"/>
    <n v="2023"/>
    <s v="T1-2023"/>
  </r>
  <r>
    <n v="714"/>
    <d v="2023-02-12T00:00:00"/>
    <x v="713"/>
    <x v="1"/>
    <x v="18"/>
    <x v="1"/>
    <n v="1"/>
    <n v="500"/>
    <n v="500"/>
    <s v="60+"/>
    <x v="36"/>
    <n v="2023"/>
    <s v="T1-2023"/>
  </r>
  <r>
    <n v="715"/>
    <d v="2023-11-26T00:00:00"/>
    <x v="714"/>
    <x v="1"/>
    <x v="13"/>
    <x v="0"/>
    <n v="4"/>
    <n v="25"/>
    <n v="100"/>
    <s v="60+"/>
    <x v="19"/>
    <n v="2023"/>
    <s v="T4-2023"/>
  </r>
  <r>
    <n v="716"/>
    <d v="2023-08-08T00:00:00"/>
    <x v="715"/>
    <x v="1"/>
    <x v="43"/>
    <x v="1"/>
    <n v="4"/>
    <n v="300"/>
    <n v="1200"/>
    <s v="60+"/>
    <x v="65"/>
    <n v="2023"/>
    <s v="T3-2023"/>
  </r>
  <r>
    <n v="717"/>
    <d v="2023-03-11T00:00:00"/>
    <x v="716"/>
    <x v="0"/>
    <x v="35"/>
    <x v="1"/>
    <n v="1"/>
    <n v="500"/>
    <n v="500"/>
    <s v="60+"/>
    <x v="49"/>
    <n v="2023"/>
    <s v="T1-2023"/>
  </r>
  <r>
    <n v="718"/>
    <d v="2023-08-25T00:00:00"/>
    <x v="717"/>
    <x v="1"/>
    <x v="42"/>
    <x v="0"/>
    <n v="3"/>
    <n v="25"/>
    <n v="75"/>
    <s v="60+"/>
    <x v="26"/>
    <n v="2023"/>
    <s v="T3-2023"/>
  </r>
  <r>
    <n v="719"/>
    <d v="2023-04-04T00:00:00"/>
    <x v="718"/>
    <x v="1"/>
    <x v="13"/>
    <x v="1"/>
    <n v="2"/>
    <n v="30"/>
    <n v="60"/>
    <s v="60+"/>
    <x v="5"/>
    <n v="2023"/>
    <s v="T2-2023"/>
  </r>
  <r>
    <n v="720"/>
    <d v="2023-01-26T00:00:00"/>
    <x v="719"/>
    <x v="1"/>
    <x v="37"/>
    <x v="0"/>
    <n v="3"/>
    <n v="500"/>
    <n v="1500"/>
    <s v="60+"/>
    <x v="79"/>
    <n v="2023"/>
    <s v="T1-2023"/>
  </r>
  <r>
    <n v="721"/>
    <d v="2023-05-14T00:00:00"/>
    <x v="720"/>
    <x v="1"/>
    <x v="8"/>
    <x v="1"/>
    <n v="1"/>
    <n v="500"/>
    <n v="500"/>
    <s v="60+"/>
    <x v="3"/>
    <n v="2023"/>
    <s v="T2-2023"/>
  </r>
  <r>
    <n v="722"/>
    <d v="2023-07-14T00:00:00"/>
    <x v="721"/>
    <x v="0"/>
    <x v="29"/>
    <x v="0"/>
    <n v="3"/>
    <n v="300"/>
    <n v="900"/>
    <s v="60+"/>
    <x v="35"/>
    <n v="2023"/>
    <s v="T3-2023"/>
  </r>
  <r>
    <n v="723"/>
    <d v="2023-06-17T00:00:00"/>
    <x v="722"/>
    <x v="1"/>
    <x v="31"/>
    <x v="0"/>
    <n v="4"/>
    <n v="50"/>
    <n v="200"/>
    <s v="60+"/>
    <x v="31"/>
    <n v="2023"/>
    <s v="T2-2023"/>
  </r>
  <r>
    <n v="724"/>
    <d v="2023-04-19T00:00:00"/>
    <x v="723"/>
    <x v="0"/>
    <x v="39"/>
    <x v="1"/>
    <n v="3"/>
    <n v="50"/>
    <n v="150"/>
    <s v="60+"/>
    <x v="22"/>
    <n v="2023"/>
    <s v="T2-2023"/>
  </r>
  <r>
    <n v="725"/>
    <d v="2023-08-21T00:00:00"/>
    <x v="724"/>
    <x v="0"/>
    <x v="39"/>
    <x v="2"/>
    <n v="1"/>
    <n v="300"/>
    <n v="300"/>
    <s v="60+"/>
    <x v="48"/>
    <n v="2023"/>
    <s v="T3-2023"/>
  </r>
  <r>
    <n v="726"/>
    <d v="2023-06-17T00:00:00"/>
    <x v="725"/>
    <x v="0"/>
    <x v="16"/>
    <x v="1"/>
    <n v="4"/>
    <n v="300"/>
    <n v="1200"/>
    <s v="60+"/>
    <x v="31"/>
    <n v="2023"/>
    <s v="T2-2023"/>
  </r>
  <r>
    <n v="727"/>
    <d v="2023-06-22T00:00:00"/>
    <x v="726"/>
    <x v="0"/>
    <x v="28"/>
    <x v="0"/>
    <n v="3"/>
    <n v="300"/>
    <n v="900"/>
    <s v="60+"/>
    <x v="34"/>
    <n v="2023"/>
    <s v="T2-2023"/>
  </r>
  <r>
    <n v="728"/>
    <d v="2023-07-14T00:00:00"/>
    <x v="727"/>
    <x v="0"/>
    <x v="25"/>
    <x v="2"/>
    <n v="3"/>
    <n v="50"/>
    <n v="150"/>
    <s v="60+"/>
    <x v="35"/>
    <n v="2023"/>
    <s v="T3-2023"/>
  </r>
  <r>
    <n v="729"/>
    <d v="2023-05-23T00:00:00"/>
    <x v="728"/>
    <x v="0"/>
    <x v="38"/>
    <x v="1"/>
    <n v="4"/>
    <n v="300"/>
    <n v="1200"/>
    <s v="60+"/>
    <x v="27"/>
    <n v="2023"/>
    <s v="T2-2023"/>
  </r>
  <r>
    <n v="730"/>
    <d v="2023-08-04T00:00:00"/>
    <x v="729"/>
    <x v="1"/>
    <x v="32"/>
    <x v="1"/>
    <n v="2"/>
    <n v="25"/>
    <n v="50"/>
    <s v="60+"/>
    <x v="26"/>
    <n v="2023"/>
    <s v="T3-2023"/>
  </r>
  <r>
    <n v="731"/>
    <d v="2023-05-10T00:00:00"/>
    <x v="730"/>
    <x v="0"/>
    <x v="31"/>
    <x v="1"/>
    <n v="4"/>
    <n v="500"/>
    <n v="2000"/>
    <s v="60+"/>
    <x v="43"/>
    <n v="2023"/>
    <s v="T2-2023"/>
  </r>
  <r>
    <n v="732"/>
    <d v="2023-02-11T00:00:00"/>
    <x v="731"/>
    <x v="0"/>
    <x v="39"/>
    <x v="2"/>
    <n v="2"/>
    <n v="500"/>
    <n v="1000"/>
    <s v="60+"/>
    <x v="78"/>
    <n v="2023"/>
    <s v="T1-2023"/>
  </r>
  <r>
    <n v="733"/>
    <d v="2023-08-29T00:00:00"/>
    <x v="732"/>
    <x v="0"/>
    <x v="0"/>
    <x v="0"/>
    <n v="1"/>
    <n v="30"/>
    <n v="30"/>
    <s v="60+"/>
    <x v="65"/>
    <n v="2023"/>
    <s v="T3-2023"/>
  </r>
  <r>
    <n v="734"/>
    <d v="2023-01-10T00:00:00"/>
    <x v="733"/>
    <x v="1"/>
    <x v="15"/>
    <x v="1"/>
    <n v="1"/>
    <n v="30"/>
    <n v="30"/>
    <s v="60+"/>
    <x v="13"/>
    <n v="2023"/>
    <s v="T1-2023"/>
  </r>
  <r>
    <n v="735"/>
    <d v="2023-10-04T00:00:00"/>
    <x v="734"/>
    <x v="1"/>
    <x v="12"/>
    <x v="1"/>
    <n v="4"/>
    <n v="500"/>
    <n v="2000"/>
    <s v="60+"/>
    <x v="62"/>
    <n v="2023"/>
    <s v="T4-2023"/>
  </r>
  <r>
    <n v="736"/>
    <d v="2023-01-27T00:00:00"/>
    <x v="735"/>
    <x v="0"/>
    <x v="38"/>
    <x v="1"/>
    <n v="4"/>
    <n v="25"/>
    <n v="100"/>
    <s v="60+"/>
    <x v="2"/>
    <n v="2023"/>
    <s v="T1-2023"/>
  </r>
  <r>
    <n v="737"/>
    <d v="2023-06-29T00:00:00"/>
    <x v="736"/>
    <x v="1"/>
    <x v="44"/>
    <x v="1"/>
    <n v="1"/>
    <n v="50"/>
    <n v="50"/>
    <s v="60+"/>
    <x v="34"/>
    <n v="2023"/>
    <s v="T2-2023"/>
  </r>
  <r>
    <n v="738"/>
    <d v="2023-04-25T00:00:00"/>
    <x v="737"/>
    <x v="0"/>
    <x v="41"/>
    <x v="1"/>
    <n v="2"/>
    <n v="50"/>
    <n v="100"/>
    <s v="60+"/>
    <x v="5"/>
    <n v="2023"/>
    <s v="T2-2023"/>
  </r>
  <r>
    <n v="739"/>
    <d v="2023-11-29T00:00:00"/>
    <x v="738"/>
    <x v="0"/>
    <x v="32"/>
    <x v="0"/>
    <n v="1"/>
    <n v="25"/>
    <n v="25"/>
    <s v="60+"/>
    <x v="23"/>
    <n v="2023"/>
    <s v="T4-2023"/>
  </r>
  <r>
    <n v="740"/>
    <d v="2023-02-05T00:00:00"/>
    <x v="739"/>
    <x v="1"/>
    <x v="36"/>
    <x v="0"/>
    <n v="4"/>
    <n v="50"/>
    <n v="200"/>
    <s v="60+"/>
    <x v="36"/>
    <n v="2023"/>
    <s v="T1-2023"/>
  </r>
  <r>
    <n v="741"/>
    <d v="2023-11-30T00:00:00"/>
    <x v="740"/>
    <x v="0"/>
    <x v="27"/>
    <x v="1"/>
    <n v="1"/>
    <n v="300"/>
    <n v="300"/>
    <s v="60+"/>
    <x v="71"/>
    <n v="2023"/>
    <s v="T4-2023"/>
  </r>
  <r>
    <n v="742"/>
    <d v="2023-01-21T00:00:00"/>
    <x v="741"/>
    <x v="1"/>
    <x v="21"/>
    <x v="2"/>
    <n v="4"/>
    <n v="500"/>
    <n v="2000"/>
    <s v="60+"/>
    <x v="20"/>
    <n v="2023"/>
    <s v="T1-2023"/>
  </r>
  <r>
    <n v="743"/>
    <d v="2023-01-16T00:00:00"/>
    <x v="742"/>
    <x v="1"/>
    <x v="0"/>
    <x v="0"/>
    <n v="4"/>
    <n v="500"/>
    <n v="2000"/>
    <s v="60+"/>
    <x v="14"/>
    <n v="2023"/>
    <s v="T1-2023"/>
  </r>
  <r>
    <n v="744"/>
    <d v="2023-05-07T00:00:00"/>
    <x v="743"/>
    <x v="0"/>
    <x v="30"/>
    <x v="2"/>
    <n v="1"/>
    <n v="25"/>
    <n v="25"/>
    <s v="60+"/>
    <x v="3"/>
    <n v="2023"/>
    <s v="T2-2023"/>
  </r>
  <r>
    <n v="745"/>
    <d v="2023-04-13T00:00:00"/>
    <x v="744"/>
    <x v="0"/>
    <x v="31"/>
    <x v="0"/>
    <n v="2"/>
    <n v="50"/>
    <n v="100"/>
    <s v="60+"/>
    <x v="46"/>
    <n v="2023"/>
    <s v="T2-2023"/>
  </r>
  <r>
    <n v="746"/>
    <d v="2023-01-11T00:00:00"/>
    <x v="745"/>
    <x v="1"/>
    <x v="44"/>
    <x v="1"/>
    <n v="3"/>
    <n v="30"/>
    <n v="90"/>
    <s v="60+"/>
    <x v="28"/>
    <n v="2023"/>
    <s v="T1-2023"/>
  </r>
  <r>
    <n v="747"/>
    <d v="2023-11-15T00:00:00"/>
    <x v="746"/>
    <x v="0"/>
    <x v="9"/>
    <x v="0"/>
    <n v="1"/>
    <n v="30"/>
    <n v="30"/>
    <s v="60+"/>
    <x v="23"/>
    <n v="2023"/>
    <s v="T4-2023"/>
  </r>
  <r>
    <n v="748"/>
    <d v="2023-03-20T00:00:00"/>
    <x v="747"/>
    <x v="0"/>
    <x v="36"/>
    <x v="1"/>
    <n v="3"/>
    <n v="50"/>
    <n v="150"/>
    <s v="60+"/>
    <x v="6"/>
    <n v="2023"/>
    <s v="T1-2023"/>
  </r>
  <r>
    <n v="749"/>
    <d v="2023-05-03T00:00:00"/>
    <x v="748"/>
    <x v="0"/>
    <x v="13"/>
    <x v="0"/>
    <n v="1"/>
    <n v="30"/>
    <n v="30"/>
    <s v="60+"/>
    <x v="43"/>
    <n v="2023"/>
    <s v="T2-2023"/>
  </r>
  <r>
    <n v="750"/>
    <d v="2023-03-06T00:00:00"/>
    <x v="749"/>
    <x v="1"/>
    <x v="10"/>
    <x v="1"/>
    <n v="3"/>
    <n v="25"/>
    <n v="75"/>
    <s v="60+"/>
    <x v="6"/>
    <n v="2023"/>
    <s v="T1-2023"/>
  </r>
  <r>
    <n v="751"/>
    <d v="2023-08-31T00:00:00"/>
    <x v="750"/>
    <x v="1"/>
    <x v="13"/>
    <x v="1"/>
    <n v="2"/>
    <n v="25"/>
    <n v="50"/>
    <s v="60+"/>
    <x v="25"/>
    <n v="2023"/>
    <s v="T3-2023"/>
  </r>
  <r>
    <n v="752"/>
    <d v="2023-12-09T00:00:00"/>
    <x v="751"/>
    <x v="0"/>
    <x v="38"/>
    <x v="1"/>
    <n v="2"/>
    <n v="50"/>
    <n v="100"/>
    <s v="60+"/>
    <x v="52"/>
    <n v="2023"/>
    <s v="T4-2023"/>
  </r>
  <r>
    <n v="753"/>
    <d v="2023-02-28T00:00:00"/>
    <x v="752"/>
    <x v="1"/>
    <x v="40"/>
    <x v="1"/>
    <n v="1"/>
    <n v="30"/>
    <n v="30"/>
    <s v="60+"/>
    <x v="10"/>
    <n v="2023"/>
    <s v="T1-2023"/>
  </r>
  <r>
    <n v="754"/>
    <d v="2023-10-16T00:00:00"/>
    <x v="753"/>
    <x v="1"/>
    <x v="22"/>
    <x v="2"/>
    <n v="4"/>
    <n v="25"/>
    <n v="100"/>
    <s v="60+"/>
    <x v="11"/>
    <n v="2023"/>
    <s v="T4-2023"/>
  </r>
  <r>
    <n v="755"/>
    <d v="2023-04-22T00:00:00"/>
    <x v="754"/>
    <x v="1"/>
    <x v="26"/>
    <x v="1"/>
    <n v="3"/>
    <n v="25"/>
    <n v="75"/>
    <s v="60+"/>
    <x v="16"/>
    <n v="2023"/>
    <s v="T2-2023"/>
  </r>
  <r>
    <n v="756"/>
    <d v="2023-08-27T00:00:00"/>
    <x v="755"/>
    <x v="1"/>
    <x v="17"/>
    <x v="2"/>
    <n v="4"/>
    <n v="300"/>
    <n v="1200"/>
    <s v="60+"/>
    <x v="77"/>
    <n v="2023"/>
    <s v="T3-2023"/>
  </r>
  <r>
    <n v="757"/>
    <d v="2023-12-25T00:00:00"/>
    <x v="756"/>
    <x v="1"/>
    <x v="22"/>
    <x v="2"/>
    <n v="4"/>
    <n v="300"/>
    <n v="1200"/>
    <s v="60+"/>
    <x v="76"/>
    <n v="2023"/>
    <s v="T4-2023"/>
  </r>
  <r>
    <n v="758"/>
    <d v="2023-05-12T00:00:00"/>
    <x v="757"/>
    <x v="0"/>
    <x v="12"/>
    <x v="1"/>
    <n v="4"/>
    <n v="25"/>
    <n v="100"/>
    <s v="60+"/>
    <x v="55"/>
    <n v="2023"/>
    <s v="T2-2023"/>
  </r>
  <r>
    <n v="759"/>
    <d v="2023-07-08T00:00:00"/>
    <x v="758"/>
    <x v="0"/>
    <x v="19"/>
    <x v="2"/>
    <n v="2"/>
    <n v="50"/>
    <n v="100"/>
    <s v="60+"/>
    <x v="51"/>
    <n v="2023"/>
    <s v="T3-2023"/>
  </r>
  <r>
    <n v="760"/>
    <d v="2023-03-27T00:00:00"/>
    <x v="759"/>
    <x v="0"/>
    <x v="15"/>
    <x v="0"/>
    <n v="1"/>
    <n v="500"/>
    <n v="500"/>
    <s v="60+"/>
    <x v="6"/>
    <n v="2023"/>
    <s v="T1-2023"/>
  </r>
  <r>
    <n v="761"/>
    <d v="2023-11-07T00:00:00"/>
    <x v="760"/>
    <x v="1"/>
    <x v="44"/>
    <x v="1"/>
    <n v="1"/>
    <n v="500"/>
    <n v="500"/>
    <s v="60+"/>
    <x v="53"/>
    <n v="2023"/>
    <s v="T4-2023"/>
  </r>
  <r>
    <n v="762"/>
    <d v="2023-11-07T00:00:00"/>
    <x v="761"/>
    <x v="1"/>
    <x v="46"/>
    <x v="2"/>
    <n v="2"/>
    <n v="25"/>
    <n v="50"/>
    <s v="60+"/>
    <x v="53"/>
    <n v="2023"/>
    <s v="T4-2023"/>
  </r>
  <r>
    <n v="763"/>
    <d v="2023-02-28T00:00:00"/>
    <x v="762"/>
    <x v="0"/>
    <x v="0"/>
    <x v="1"/>
    <n v="2"/>
    <n v="25"/>
    <n v="50"/>
    <s v="60+"/>
    <x v="10"/>
    <n v="2023"/>
    <s v="T1-2023"/>
  </r>
  <r>
    <n v="764"/>
    <d v="2023-03-25T00:00:00"/>
    <x v="763"/>
    <x v="1"/>
    <x v="30"/>
    <x v="1"/>
    <n v="1"/>
    <n v="25"/>
    <n v="25"/>
    <s v="60+"/>
    <x v="49"/>
    <n v="2023"/>
    <s v="T1-2023"/>
  </r>
  <r>
    <n v="765"/>
    <d v="2023-06-09T00:00:00"/>
    <x v="764"/>
    <x v="0"/>
    <x v="22"/>
    <x v="1"/>
    <n v="4"/>
    <n v="50"/>
    <n v="200"/>
    <s v="60+"/>
    <x v="57"/>
    <n v="2023"/>
    <s v="T2-2023"/>
  </r>
  <r>
    <n v="766"/>
    <d v="2023-02-25T00:00:00"/>
    <x v="765"/>
    <x v="0"/>
    <x v="21"/>
    <x v="2"/>
    <n v="3"/>
    <n v="300"/>
    <n v="900"/>
    <s v="60+"/>
    <x v="78"/>
    <n v="2023"/>
    <s v="T1-2023"/>
  </r>
  <r>
    <n v="767"/>
    <d v="2023-10-24T00:00:00"/>
    <x v="766"/>
    <x v="0"/>
    <x v="23"/>
    <x v="0"/>
    <n v="3"/>
    <n v="25"/>
    <n v="75"/>
    <s v="60+"/>
    <x v="42"/>
    <n v="2023"/>
    <s v="T4-2023"/>
  </r>
  <r>
    <n v="768"/>
    <d v="2023-01-14T00:00:00"/>
    <x v="767"/>
    <x v="1"/>
    <x v="46"/>
    <x v="0"/>
    <n v="3"/>
    <n v="25"/>
    <n v="75"/>
    <s v="60+"/>
    <x v="20"/>
    <n v="2023"/>
    <s v="T1-2023"/>
  </r>
  <r>
    <n v="769"/>
    <d v="2023-06-09T00:00:00"/>
    <x v="768"/>
    <x v="1"/>
    <x v="33"/>
    <x v="2"/>
    <n v="4"/>
    <n v="30"/>
    <n v="120"/>
    <s v="60+"/>
    <x v="57"/>
    <n v="2023"/>
    <s v="T2-2023"/>
  </r>
  <r>
    <n v="770"/>
    <d v="2023-10-22T00:00:00"/>
    <x v="769"/>
    <x v="0"/>
    <x v="40"/>
    <x v="1"/>
    <n v="1"/>
    <n v="50"/>
    <n v="50"/>
    <s v="60+"/>
    <x v="21"/>
    <n v="2023"/>
    <s v="T4-2023"/>
  </r>
  <r>
    <n v="771"/>
    <d v="2023-12-13T00:00:00"/>
    <x v="770"/>
    <x v="0"/>
    <x v="46"/>
    <x v="2"/>
    <n v="2"/>
    <n v="25"/>
    <n v="50"/>
    <s v="60+"/>
    <x v="8"/>
    <n v="2023"/>
    <s v="T4-2023"/>
  </r>
  <r>
    <n v="772"/>
    <d v="2023-07-12T00:00:00"/>
    <x v="771"/>
    <x v="0"/>
    <x v="1"/>
    <x v="2"/>
    <n v="1"/>
    <n v="30"/>
    <n v="30"/>
    <s v="60+"/>
    <x v="45"/>
    <n v="2023"/>
    <s v="T3-2023"/>
  </r>
  <r>
    <n v="773"/>
    <d v="2023-07-23T00:00:00"/>
    <x v="772"/>
    <x v="0"/>
    <x v="36"/>
    <x v="2"/>
    <n v="4"/>
    <n v="500"/>
    <n v="2000"/>
    <s v="60+"/>
    <x v="50"/>
    <n v="2023"/>
    <s v="T3-2023"/>
  </r>
  <r>
    <n v="774"/>
    <d v="2023-04-12T00:00:00"/>
    <x v="773"/>
    <x v="1"/>
    <x v="30"/>
    <x v="1"/>
    <n v="2"/>
    <n v="25"/>
    <n v="50"/>
    <s v="60+"/>
    <x v="22"/>
    <n v="2023"/>
    <s v="T2-2023"/>
  </r>
  <r>
    <n v="775"/>
    <d v="2023-02-08T00:00:00"/>
    <x v="774"/>
    <x v="1"/>
    <x v="6"/>
    <x v="2"/>
    <n v="4"/>
    <n v="25"/>
    <n v="100"/>
    <s v="60+"/>
    <x v="7"/>
    <n v="2023"/>
    <s v="T1-2023"/>
  </r>
  <r>
    <n v="776"/>
    <d v="2023-10-31T00:00:00"/>
    <x v="775"/>
    <x v="0"/>
    <x v="10"/>
    <x v="1"/>
    <n v="3"/>
    <n v="30"/>
    <n v="90"/>
    <s v="60+"/>
    <x v="42"/>
    <n v="2023"/>
    <s v="T4-2023"/>
  </r>
  <r>
    <n v="777"/>
    <d v="2023-12-20T00:00:00"/>
    <x v="776"/>
    <x v="0"/>
    <x v="27"/>
    <x v="2"/>
    <n v="3"/>
    <n v="50"/>
    <n v="150"/>
    <s v="60+"/>
    <x v="8"/>
    <n v="2023"/>
    <s v="T4-2023"/>
  </r>
  <r>
    <n v="778"/>
    <d v="2023-11-18T00:00:00"/>
    <x v="777"/>
    <x v="1"/>
    <x v="16"/>
    <x v="0"/>
    <n v="4"/>
    <n v="25"/>
    <n v="100"/>
    <s v="60+"/>
    <x v="44"/>
    <n v="2023"/>
    <s v="T4-2023"/>
  </r>
  <r>
    <n v="779"/>
    <d v="2023-05-05T00:00:00"/>
    <x v="778"/>
    <x v="1"/>
    <x v="37"/>
    <x v="2"/>
    <n v="2"/>
    <n v="500"/>
    <n v="1000"/>
    <s v="60+"/>
    <x v="55"/>
    <n v="2023"/>
    <s v="T2-2023"/>
  </r>
  <r>
    <n v="780"/>
    <d v="2023-02-22T00:00:00"/>
    <x v="779"/>
    <x v="0"/>
    <x v="8"/>
    <x v="2"/>
    <n v="2"/>
    <n v="25"/>
    <n v="50"/>
    <s v="60+"/>
    <x v="7"/>
    <n v="2023"/>
    <s v="T1-2023"/>
  </r>
  <r>
    <n v="781"/>
    <d v="2023-12-23T00:00:00"/>
    <x v="780"/>
    <x v="0"/>
    <x v="10"/>
    <x v="0"/>
    <n v="1"/>
    <n v="500"/>
    <n v="500"/>
    <s v="60+"/>
    <x v="52"/>
    <n v="2023"/>
    <s v="T4-2023"/>
  </r>
  <r>
    <n v="782"/>
    <d v="2023-06-04T00:00:00"/>
    <x v="781"/>
    <x v="0"/>
    <x v="42"/>
    <x v="1"/>
    <n v="3"/>
    <n v="300"/>
    <n v="900"/>
    <s v="60+"/>
    <x v="59"/>
    <n v="2023"/>
    <s v="T2-2023"/>
  </r>
  <r>
    <n v="783"/>
    <d v="2023-12-17T00:00:00"/>
    <x v="782"/>
    <x v="1"/>
    <x v="37"/>
    <x v="1"/>
    <n v="1"/>
    <n v="300"/>
    <n v="300"/>
    <s v="60+"/>
    <x v="30"/>
    <n v="2023"/>
    <s v="T4-2023"/>
  </r>
  <r>
    <n v="784"/>
    <d v="2023-11-04T00:00:00"/>
    <x v="783"/>
    <x v="1"/>
    <x v="0"/>
    <x v="2"/>
    <n v="1"/>
    <n v="500"/>
    <n v="500"/>
    <s v="60+"/>
    <x v="44"/>
    <n v="2023"/>
    <s v="T4-2023"/>
  </r>
  <r>
    <n v="785"/>
    <d v="2023-03-03T00:00:00"/>
    <x v="784"/>
    <x v="1"/>
    <x v="33"/>
    <x v="0"/>
    <n v="4"/>
    <n v="50"/>
    <n v="200"/>
    <s v="60+"/>
    <x v="73"/>
    <n v="2023"/>
    <s v="T1-2023"/>
  </r>
  <r>
    <n v="786"/>
    <d v="2023-10-17T00:00:00"/>
    <x v="785"/>
    <x v="0"/>
    <x v="27"/>
    <x v="1"/>
    <n v="4"/>
    <n v="25"/>
    <n v="100"/>
    <s v="60+"/>
    <x v="42"/>
    <n v="2023"/>
    <s v="T4-2023"/>
  </r>
  <r>
    <n v="787"/>
    <d v="2023-01-22T00:00:00"/>
    <x v="786"/>
    <x v="0"/>
    <x v="41"/>
    <x v="2"/>
    <n v="1"/>
    <n v="25"/>
    <n v="25"/>
    <s v="60+"/>
    <x v="58"/>
    <n v="2023"/>
    <s v="T1-2023"/>
  </r>
  <r>
    <n v="788"/>
    <d v="2023-06-27T00:00:00"/>
    <x v="787"/>
    <x v="1"/>
    <x v="8"/>
    <x v="0"/>
    <n v="3"/>
    <n v="300"/>
    <n v="900"/>
    <s v="60+"/>
    <x v="80"/>
    <n v="2023"/>
    <s v="T2-2023"/>
  </r>
  <r>
    <n v="789"/>
    <d v="2023-09-30T00:00:00"/>
    <x v="788"/>
    <x v="1"/>
    <x v="39"/>
    <x v="1"/>
    <n v="4"/>
    <n v="500"/>
    <n v="2000"/>
    <s v="60+"/>
    <x v="18"/>
    <n v="2023"/>
    <s v="T3-2023"/>
  </r>
  <r>
    <n v="790"/>
    <d v="2023-08-08T00:00:00"/>
    <x v="789"/>
    <x v="0"/>
    <x v="17"/>
    <x v="1"/>
    <n v="1"/>
    <n v="25"/>
    <n v="25"/>
    <s v="60+"/>
    <x v="65"/>
    <n v="2023"/>
    <s v="T3-2023"/>
  </r>
  <r>
    <n v="791"/>
    <d v="2023-12-05T00:00:00"/>
    <x v="790"/>
    <x v="1"/>
    <x v="25"/>
    <x v="0"/>
    <n v="1"/>
    <n v="25"/>
    <n v="25"/>
    <s v="60+"/>
    <x v="24"/>
    <n v="2023"/>
    <s v="T4-2023"/>
  </r>
  <r>
    <n v="792"/>
    <d v="2023-07-09T00:00:00"/>
    <x v="791"/>
    <x v="1"/>
    <x v="29"/>
    <x v="0"/>
    <n v="1"/>
    <n v="50"/>
    <n v="50"/>
    <s v="60+"/>
    <x v="50"/>
    <n v="2023"/>
    <s v="T3-2023"/>
  </r>
  <r>
    <n v="793"/>
    <d v="2023-02-05T00:00:00"/>
    <x v="792"/>
    <x v="0"/>
    <x v="31"/>
    <x v="0"/>
    <n v="1"/>
    <n v="30"/>
    <n v="30"/>
    <s v="60+"/>
    <x v="36"/>
    <n v="2023"/>
    <s v="T1-2023"/>
  </r>
  <r>
    <n v="794"/>
    <d v="2023-09-17T00:00:00"/>
    <x v="793"/>
    <x v="1"/>
    <x v="43"/>
    <x v="0"/>
    <n v="1"/>
    <n v="300"/>
    <n v="300"/>
    <s v="60+"/>
    <x v="68"/>
    <n v="2023"/>
    <s v="T3-2023"/>
  </r>
  <r>
    <n v="795"/>
    <d v="2023-11-28T00:00:00"/>
    <x v="794"/>
    <x v="0"/>
    <x v="35"/>
    <x v="2"/>
    <n v="1"/>
    <n v="300"/>
    <n v="300"/>
    <s v="60+"/>
    <x v="53"/>
    <n v="2023"/>
    <s v="T4-2023"/>
  </r>
  <r>
    <n v="796"/>
    <d v="2023-06-24T00:00:00"/>
    <x v="795"/>
    <x v="0"/>
    <x v="22"/>
    <x v="0"/>
    <n v="4"/>
    <n v="30"/>
    <n v="120"/>
    <s v="60+"/>
    <x v="31"/>
    <n v="2023"/>
    <s v="T2-2023"/>
  </r>
  <r>
    <n v="797"/>
    <d v="2023-01-07T00:00:00"/>
    <x v="796"/>
    <x v="0"/>
    <x v="30"/>
    <x v="1"/>
    <n v="3"/>
    <n v="25"/>
    <n v="75"/>
    <s v="60+"/>
    <x v="20"/>
    <n v="2023"/>
    <s v="T1-2023"/>
  </r>
  <r>
    <n v="798"/>
    <d v="2023-08-04T00:00:00"/>
    <x v="797"/>
    <x v="0"/>
    <x v="39"/>
    <x v="1"/>
    <n v="1"/>
    <n v="50"/>
    <n v="50"/>
    <s v="60+"/>
    <x v="26"/>
    <n v="2023"/>
    <s v="T3-2023"/>
  </r>
  <r>
    <n v="799"/>
    <d v="2023-09-08T00:00:00"/>
    <x v="798"/>
    <x v="0"/>
    <x v="37"/>
    <x v="2"/>
    <n v="2"/>
    <n v="50"/>
    <n v="100"/>
    <s v="60+"/>
    <x v="74"/>
    <n v="2023"/>
    <s v="T3-2023"/>
  </r>
  <r>
    <n v="800"/>
    <d v="2023-02-24T00:00:00"/>
    <x v="799"/>
    <x v="0"/>
    <x v="40"/>
    <x v="1"/>
    <n v="4"/>
    <n v="300"/>
    <n v="1200"/>
    <s v="60+"/>
    <x v="15"/>
    <n v="2023"/>
    <s v="T1-2023"/>
  </r>
  <r>
    <n v="801"/>
    <d v="2023-08-10T00:00:00"/>
    <x v="800"/>
    <x v="0"/>
    <x v="34"/>
    <x v="1"/>
    <n v="4"/>
    <n v="50"/>
    <n v="200"/>
    <s v="60+"/>
    <x v="25"/>
    <n v="2023"/>
    <s v="T3-2023"/>
  </r>
  <r>
    <n v="802"/>
    <d v="2023-07-05T00:00:00"/>
    <x v="801"/>
    <x v="1"/>
    <x v="6"/>
    <x v="0"/>
    <n v="1"/>
    <n v="30"/>
    <n v="30"/>
    <s v="60+"/>
    <x v="45"/>
    <n v="2023"/>
    <s v="T3-2023"/>
  </r>
  <r>
    <n v="803"/>
    <d v="2023-11-22T00:00:00"/>
    <x v="802"/>
    <x v="0"/>
    <x v="23"/>
    <x v="1"/>
    <n v="4"/>
    <n v="25"/>
    <n v="100"/>
    <s v="60+"/>
    <x v="23"/>
    <n v="2023"/>
    <s v="T4-2023"/>
  </r>
  <r>
    <n v="804"/>
    <d v="2023-08-24T00:00:00"/>
    <x v="803"/>
    <x v="0"/>
    <x v="13"/>
    <x v="2"/>
    <n v="1"/>
    <n v="30"/>
    <n v="30"/>
    <s v="60+"/>
    <x v="25"/>
    <n v="2023"/>
    <s v="T3-2023"/>
  </r>
  <r>
    <n v="805"/>
    <d v="2023-12-29T00:00:00"/>
    <x v="804"/>
    <x v="1"/>
    <x v="4"/>
    <x v="0"/>
    <n v="3"/>
    <n v="500"/>
    <n v="1500"/>
    <s v="60+"/>
    <x v="70"/>
    <n v="2023"/>
    <s v="T4-2023"/>
  </r>
  <r>
    <n v="806"/>
    <d v="2023-03-20T00:00:00"/>
    <x v="805"/>
    <x v="1"/>
    <x v="10"/>
    <x v="0"/>
    <n v="3"/>
    <n v="300"/>
    <n v="900"/>
    <s v="60+"/>
    <x v="6"/>
    <n v="2023"/>
    <s v="T1-2023"/>
  </r>
  <r>
    <n v="807"/>
    <d v="2023-08-11T00:00:00"/>
    <x v="806"/>
    <x v="1"/>
    <x v="2"/>
    <x v="2"/>
    <n v="4"/>
    <n v="50"/>
    <n v="200"/>
    <s v="60+"/>
    <x v="26"/>
    <n v="2023"/>
    <s v="T3-2023"/>
  </r>
  <r>
    <n v="808"/>
    <d v="2023-04-01T00:00:00"/>
    <x v="807"/>
    <x v="0"/>
    <x v="44"/>
    <x v="0"/>
    <n v="4"/>
    <n v="500"/>
    <n v="2000"/>
    <s v="60+"/>
    <x v="16"/>
    <n v="2023"/>
    <s v="T2-2023"/>
  </r>
  <r>
    <n v="809"/>
    <d v="2023-09-25T00:00:00"/>
    <x v="808"/>
    <x v="1"/>
    <x v="17"/>
    <x v="0"/>
    <n v="2"/>
    <n v="50"/>
    <n v="100"/>
    <s v="60+"/>
    <x v="67"/>
    <n v="2023"/>
    <s v="T3-2023"/>
  </r>
  <r>
    <n v="810"/>
    <d v="2023-11-30T00:00:00"/>
    <x v="809"/>
    <x v="0"/>
    <x v="42"/>
    <x v="2"/>
    <n v="4"/>
    <n v="25"/>
    <n v="100"/>
    <s v="60+"/>
    <x v="71"/>
    <n v="2023"/>
    <s v="T4-2023"/>
  </r>
  <r>
    <n v="811"/>
    <d v="2023-05-19T00:00:00"/>
    <x v="810"/>
    <x v="0"/>
    <x v="39"/>
    <x v="0"/>
    <n v="2"/>
    <n v="25"/>
    <n v="50"/>
    <s v="60+"/>
    <x v="55"/>
    <n v="2023"/>
    <s v="T2-2023"/>
  </r>
  <r>
    <n v="812"/>
    <d v="2023-11-12T00:00:00"/>
    <x v="811"/>
    <x v="0"/>
    <x v="14"/>
    <x v="2"/>
    <n v="3"/>
    <n v="25"/>
    <n v="75"/>
    <s v="60+"/>
    <x v="19"/>
    <n v="2023"/>
    <s v="T4-2023"/>
  </r>
  <r>
    <n v="813"/>
    <d v="2023-10-03T00:00:00"/>
    <x v="812"/>
    <x v="0"/>
    <x v="8"/>
    <x v="2"/>
    <n v="3"/>
    <n v="50"/>
    <n v="150"/>
    <s v="60+"/>
    <x v="42"/>
    <n v="2023"/>
    <s v="T4-2023"/>
  </r>
  <r>
    <n v="814"/>
    <d v="2023-09-05T00:00:00"/>
    <x v="813"/>
    <x v="1"/>
    <x v="42"/>
    <x v="1"/>
    <n v="1"/>
    <n v="500"/>
    <n v="500"/>
    <s v="60+"/>
    <x v="83"/>
    <n v="2023"/>
    <s v="T3-2023"/>
  </r>
  <r>
    <n v="815"/>
    <d v="2023-08-27T00:00:00"/>
    <x v="814"/>
    <x v="1"/>
    <x v="25"/>
    <x v="1"/>
    <n v="3"/>
    <n v="25"/>
    <n v="75"/>
    <s v="60+"/>
    <x v="77"/>
    <n v="2023"/>
    <s v="T3-2023"/>
  </r>
  <r>
    <n v="816"/>
    <d v="2023-08-12T00:00:00"/>
    <x v="815"/>
    <x v="0"/>
    <x v="16"/>
    <x v="0"/>
    <n v="2"/>
    <n v="500"/>
    <n v="1000"/>
    <s v="60+"/>
    <x v="12"/>
    <n v="2023"/>
    <s v="T3-2023"/>
  </r>
  <r>
    <n v="817"/>
    <d v="2023-10-31T00:00:00"/>
    <x v="816"/>
    <x v="0"/>
    <x v="4"/>
    <x v="0"/>
    <n v="4"/>
    <n v="50"/>
    <n v="200"/>
    <s v="60+"/>
    <x v="42"/>
    <n v="2023"/>
    <s v="T4-2023"/>
  </r>
  <r>
    <n v="818"/>
    <d v="2023-05-18T00:00:00"/>
    <x v="817"/>
    <x v="0"/>
    <x v="4"/>
    <x v="2"/>
    <n v="1"/>
    <n v="500"/>
    <n v="500"/>
    <s v="60+"/>
    <x v="61"/>
    <n v="2023"/>
    <s v="T2-2023"/>
  </r>
  <r>
    <n v="819"/>
    <d v="2023-06-15T00:00:00"/>
    <x v="818"/>
    <x v="1"/>
    <x v="10"/>
    <x v="0"/>
    <n v="2"/>
    <n v="50"/>
    <n v="100"/>
    <s v="60+"/>
    <x v="34"/>
    <n v="2023"/>
    <s v="T2-2023"/>
  </r>
  <r>
    <n v="820"/>
    <d v="2023-05-06T00:00:00"/>
    <x v="819"/>
    <x v="0"/>
    <x v="19"/>
    <x v="2"/>
    <n v="4"/>
    <n v="50"/>
    <n v="200"/>
    <s v="60+"/>
    <x v="4"/>
    <n v="2023"/>
    <s v="T2-2023"/>
  </r>
  <r>
    <n v="821"/>
    <d v="2023-02-14T00:00:00"/>
    <x v="820"/>
    <x v="0"/>
    <x v="19"/>
    <x v="2"/>
    <n v="1"/>
    <n v="300"/>
    <n v="300"/>
    <s v="60+"/>
    <x v="10"/>
    <n v="2023"/>
    <s v="T1-2023"/>
  </r>
  <r>
    <n v="822"/>
    <d v="2023-05-23T00:00:00"/>
    <x v="821"/>
    <x v="1"/>
    <x v="8"/>
    <x v="0"/>
    <n v="3"/>
    <n v="50"/>
    <n v="150"/>
    <s v="60+"/>
    <x v="27"/>
    <n v="2023"/>
    <s v="T2-2023"/>
  </r>
  <r>
    <n v="823"/>
    <d v="2023-08-19T00:00:00"/>
    <x v="822"/>
    <x v="1"/>
    <x v="37"/>
    <x v="2"/>
    <n v="2"/>
    <n v="50"/>
    <n v="100"/>
    <s v="60+"/>
    <x v="12"/>
    <n v="2023"/>
    <s v="T3-2023"/>
  </r>
  <r>
    <n v="824"/>
    <d v="2023-05-05T00:00:00"/>
    <x v="823"/>
    <x v="0"/>
    <x v="7"/>
    <x v="1"/>
    <n v="4"/>
    <n v="30"/>
    <n v="120"/>
    <s v="60+"/>
    <x v="55"/>
    <n v="2023"/>
    <s v="T2-2023"/>
  </r>
  <r>
    <n v="825"/>
    <d v="2023-08-26T00:00:00"/>
    <x v="824"/>
    <x v="1"/>
    <x v="6"/>
    <x v="0"/>
    <n v="1"/>
    <n v="25"/>
    <n v="25"/>
    <s v="60+"/>
    <x v="12"/>
    <n v="2023"/>
    <s v="T3-2023"/>
  </r>
  <r>
    <n v="826"/>
    <d v="2023-10-19T00:00:00"/>
    <x v="825"/>
    <x v="1"/>
    <x v="6"/>
    <x v="1"/>
    <n v="1"/>
    <n v="300"/>
    <n v="300"/>
    <s v="60+"/>
    <x v="66"/>
    <n v="2023"/>
    <s v="T4-2023"/>
  </r>
  <r>
    <n v="827"/>
    <d v="2023-11-09T00:00:00"/>
    <x v="826"/>
    <x v="0"/>
    <x v="39"/>
    <x v="0"/>
    <n v="3"/>
    <n v="300"/>
    <n v="900"/>
    <s v="60+"/>
    <x v="71"/>
    <n v="2023"/>
    <s v="T4-2023"/>
  </r>
  <r>
    <n v="828"/>
    <d v="2023-12-09T00:00:00"/>
    <x v="827"/>
    <x v="1"/>
    <x v="44"/>
    <x v="2"/>
    <n v="4"/>
    <n v="300"/>
    <n v="1200"/>
    <s v="60+"/>
    <x v="52"/>
    <n v="2023"/>
    <s v="T4-2023"/>
  </r>
  <r>
    <n v="829"/>
    <d v="2023-07-14T00:00:00"/>
    <x v="828"/>
    <x v="0"/>
    <x v="39"/>
    <x v="0"/>
    <n v="3"/>
    <n v="30"/>
    <n v="90"/>
    <s v="60+"/>
    <x v="35"/>
    <n v="2023"/>
    <s v="T3-2023"/>
  </r>
  <r>
    <n v="830"/>
    <d v="2023-06-22T00:00:00"/>
    <x v="829"/>
    <x v="1"/>
    <x v="12"/>
    <x v="1"/>
    <n v="3"/>
    <n v="50"/>
    <n v="150"/>
    <s v="60+"/>
    <x v="34"/>
    <n v="2023"/>
    <s v="T2-2023"/>
  </r>
  <r>
    <n v="831"/>
    <d v="2023-01-15T00:00:00"/>
    <x v="830"/>
    <x v="0"/>
    <x v="15"/>
    <x v="2"/>
    <n v="4"/>
    <n v="25"/>
    <n v="100"/>
    <s v="60+"/>
    <x v="58"/>
    <n v="2023"/>
    <s v="T1-2023"/>
  </r>
  <r>
    <n v="832"/>
    <d v="2023-09-11T00:00:00"/>
    <x v="831"/>
    <x v="0"/>
    <x v="16"/>
    <x v="0"/>
    <n v="4"/>
    <n v="500"/>
    <n v="2000"/>
    <s v="60+"/>
    <x v="67"/>
    <n v="2023"/>
    <s v="T3-2023"/>
  </r>
  <r>
    <n v="833"/>
    <d v="2023-06-16T00:00:00"/>
    <x v="832"/>
    <x v="0"/>
    <x v="13"/>
    <x v="0"/>
    <n v="4"/>
    <n v="50"/>
    <n v="200"/>
    <s v="60+"/>
    <x v="57"/>
    <n v="2023"/>
    <s v="T2-2023"/>
  </r>
  <r>
    <n v="834"/>
    <d v="2023-04-04T00:00:00"/>
    <x v="833"/>
    <x v="1"/>
    <x v="37"/>
    <x v="0"/>
    <n v="2"/>
    <n v="30"/>
    <n v="60"/>
    <s v="60+"/>
    <x v="5"/>
    <n v="2023"/>
    <s v="T2-2023"/>
  </r>
  <r>
    <n v="835"/>
    <d v="2023-09-07T00:00:00"/>
    <x v="834"/>
    <x v="0"/>
    <x v="3"/>
    <x v="1"/>
    <n v="4"/>
    <n v="50"/>
    <n v="200"/>
    <s v="60+"/>
    <x v="72"/>
    <n v="2023"/>
    <s v="T3-2023"/>
  </r>
  <r>
    <n v="836"/>
    <d v="2023-04-19T00:00:00"/>
    <x v="835"/>
    <x v="1"/>
    <x v="11"/>
    <x v="1"/>
    <n v="1"/>
    <n v="50"/>
    <n v="50"/>
    <s v="60+"/>
    <x v="22"/>
    <n v="2023"/>
    <s v="T2-2023"/>
  </r>
  <r>
    <n v="837"/>
    <d v="2023-07-01T00:00:00"/>
    <x v="836"/>
    <x v="0"/>
    <x v="18"/>
    <x v="0"/>
    <n v="3"/>
    <n v="30"/>
    <n v="90"/>
    <s v="60+"/>
    <x v="51"/>
    <n v="2023"/>
    <s v="T3-2023"/>
  </r>
  <r>
    <n v="838"/>
    <d v="2023-05-13T00:00:00"/>
    <x v="837"/>
    <x v="0"/>
    <x v="16"/>
    <x v="2"/>
    <n v="2"/>
    <n v="300"/>
    <n v="600"/>
    <s v="60+"/>
    <x v="4"/>
    <n v="2023"/>
    <s v="T2-2023"/>
  </r>
  <r>
    <n v="839"/>
    <d v="2023-06-24T00:00:00"/>
    <x v="838"/>
    <x v="1"/>
    <x v="29"/>
    <x v="2"/>
    <n v="4"/>
    <n v="300"/>
    <n v="1200"/>
    <s v="60+"/>
    <x v="31"/>
    <n v="2023"/>
    <s v="T2-2023"/>
  </r>
  <r>
    <n v="840"/>
    <d v="2023-05-24T00:00:00"/>
    <x v="839"/>
    <x v="0"/>
    <x v="17"/>
    <x v="1"/>
    <n v="2"/>
    <n v="25"/>
    <n v="50"/>
    <s v="60+"/>
    <x v="43"/>
    <n v="2023"/>
    <s v="T2-2023"/>
  </r>
  <r>
    <n v="841"/>
    <d v="2023-11-02T00:00:00"/>
    <x v="840"/>
    <x v="0"/>
    <x v="33"/>
    <x v="2"/>
    <n v="4"/>
    <n v="25"/>
    <n v="100"/>
    <s v="60+"/>
    <x v="71"/>
    <n v="2023"/>
    <s v="T4-2023"/>
  </r>
  <r>
    <n v="842"/>
    <d v="2023-12-26T00:00:00"/>
    <x v="841"/>
    <x v="1"/>
    <x v="16"/>
    <x v="1"/>
    <n v="2"/>
    <n v="300"/>
    <n v="600"/>
    <s v="60+"/>
    <x v="24"/>
    <n v="2023"/>
    <s v="T4-2023"/>
  </r>
  <r>
    <n v="843"/>
    <d v="2023-05-22T00:00:00"/>
    <x v="842"/>
    <x v="0"/>
    <x v="34"/>
    <x v="0"/>
    <n v="3"/>
    <n v="500"/>
    <n v="1500"/>
    <s v="60+"/>
    <x v="47"/>
    <n v="2023"/>
    <s v="T2-2023"/>
  </r>
  <r>
    <n v="844"/>
    <d v="2023-10-12T00:00:00"/>
    <x v="843"/>
    <x v="0"/>
    <x v="10"/>
    <x v="1"/>
    <n v="3"/>
    <n v="50"/>
    <n v="150"/>
    <s v="60+"/>
    <x v="66"/>
    <n v="2023"/>
    <s v="T4-2023"/>
  </r>
  <r>
    <n v="845"/>
    <d v="2023-01-06T00:00:00"/>
    <x v="844"/>
    <x v="0"/>
    <x v="31"/>
    <x v="1"/>
    <n v="1"/>
    <n v="500"/>
    <n v="500"/>
    <s v="60+"/>
    <x v="2"/>
    <n v="2023"/>
    <s v="T1-2023"/>
  </r>
  <r>
    <n v="846"/>
    <d v="2023-09-22T00:00:00"/>
    <x v="845"/>
    <x v="0"/>
    <x v="13"/>
    <x v="0"/>
    <n v="1"/>
    <n v="50"/>
    <n v="50"/>
    <s v="60+"/>
    <x v="74"/>
    <n v="2023"/>
    <s v="T3-2023"/>
  </r>
  <r>
    <n v="847"/>
    <d v="2023-04-08T00:00:00"/>
    <x v="846"/>
    <x v="1"/>
    <x v="18"/>
    <x v="2"/>
    <n v="4"/>
    <n v="300"/>
    <n v="1200"/>
    <s v="60+"/>
    <x v="16"/>
    <n v="2023"/>
    <s v="T2-2023"/>
  </r>
  <r>
    <n v="848"/>
    <d v="2023-02-13T00:00:00"/>
    <x v="847"/>
    <x v="1"/>
    <x v="7"/>
    <x v="1"/>
    <n v="3"/>
    <n v="25"/>
    <n v="75"/>
    <s v="60+"/>
    <x v="1"/>
    <n v="2023"/>
    <s v="T1-2023"/>
  </r>
  <r>
    <n v="849"/>
    <d v="2023-05-04T00:00:00"/>
    <x v="848"/>
    <x v="0"/>
    <x v="40"/>
    <x v="1"/>
    <n v="2"/>
    <n v="25"/>
    <n v="50"/>
    <s v="60+"/>
    <x v="61"/>
    <n v="2023"/>
    <s v="T2-2023"/>
  </r>
  <r>
    <n v="850"/>
    <d v="2023-07-28T00:00:00"/>
    <x v="849"/>
    <x v="1"/>
    <x v="1"/>
    <x v="0"/>
    <n v="2"/>
    <n v="500"/>
    <n v="1000"/>
    <s v="60+"/>
    <x v="35"/>
    <n v="2023"/>
    <s v="T3-2023"/>
  </r>
  <r>
    <n v="851"/>
    <d v="2023-09-08T00:00:00"/>
    <x v="850"/>
    <x v="0"/>
    <x v="40"/>
    <x v="2"/>
    <n v="2"/>
    <n v="25"/>
    <n v="50"/>
    <s v="60+"/>
    <x v="74"/>
    <n v="2023"/>
    <s v="T3-2023"/>
  </r>
  <r>
    <n v="852"/>
    <d v="2023-10-12T00:00:00"/>
    <x v="851"/>
    <x v="1"/>
    <x v="41"/>
    <x v="1"/>
    <n v="1"/>
    <n v="300"/>
    <n v="300"/>
    <s v="60+"/>
    <x v="66"/>
    <n v="2023"/>
    <s v="T4-2023"/>
  </r>
  <r>
    <n v="853"/>
    <d v="2023-05-04T00:00:00"/>
    <x v="852"/>
    <x v="0"/>
    <x v="34"/>
    <x v="0"/>
    <n v="2"/>
    <n v="500"/>
    <n v="1000"/>
    <s v="60+"/>
    <x v="61"/>
    <n v="2023"/>
    <s v="T2-2023"/>
  </r>
  <r>
    <n v="854"/>
    <d v="2023-12-20T00:00:00"/>
    <x v="853"/>
    <x v="0"/>
    <x v="38"/>
    <x v="1"/>
    <n v="1"/>
    <n v="50"/>
    <n v="50"/>
    <s v="60+"/>
    <x v="8"/>
    <n v="2023"/>
    <s v="T4-2023"/>
  </r>
  <r>
    <n v="855"/>
    <d v="2023-09-01T00:00:00"/>
    <x v="854"/>
    <x v="0"/>
    <x v="31"/>
    <x v="0"/>
    <n v="1"/>
    <n v="25"/>
    <n v="25"/>
    <s v="60+"/>
    <x v="74"/>
    <n v="2023"/>
    <s v="T3-2023"/>
  </r>
  <r>
    <n v="856"/>
    <d v="2023-11-27T00:00:00"/>
    <x v="855"/>
    <x v="0"/>
    <x v="31"/>
    <x v="2"/>
    <n v="4"/>
    <n v="30"/>
    <n v="120"/>
    <s v="60+"/>
    <x v="39"/>
    <n v="2023"/>
    <s v="T4-2023"/>
  </r>
  <r>
    <n v="857"/>
    <d v="2023-12-31T00:00:00"/>
    <x v="856"/>
    <x v="0"/>
    <x v="43"/>
    <x v="2"/>
    <n v="2"/>
    <n v="25"/>
    <n v="50"/>
    <s v="60+"/>
    <x v="30"/>
    <n v="2023"/>
    <s v="T4-2023"/>
  </r>
  <r>
    <n v="858"/>
    <d v="2023-09-09T00:00:00"/>
    <x v="857"/>
    <x v="0"/>
    <x v="9"/>
    <x v="2"/>
    <n v="2"/>
    <n v="50"/>
    <n v="100"/>
    <s v="60+"/>
    <x v="18"/>
    <n v="2023"/>
    <s v="T3-2023"/>
  </r>
  <r>
    <n v="859"/>
    <d v="2023-08-18T00:00:00"/>
    <x v="858"/>
    <x v="1"/>
    <x v="37"/>
    <x v="2"/>
    <n v="3"/>
    <n v="500"/>
    <n v="1500"/>
    <s v="60+"/>
    <x v="26"/>
    <n v="2023"/>
    <s v="T3-2023"/>
  </r>
  <r>
    <n v="860"/>
    <d v="2023-01-09T00:00:00"/>
    <x v="859"/>
    <x v="0"/>
    <x v="7"/>
    <x v="1"/>
    <n v="4"/>
    <n v="50"/>
    <n v="200"/>
    <s v="60+"/>
    <x v="14"/>
    <n v="2023"/>
    <s v="T1-2023"/>
  </r>
  <r>
    <n v="861"/>
    <d v="2023-02-17T00:00:00"/>
    <x v="860"/>
    <x v="1"/>
    <x v="41"/>
    <x v="1"/>
    <n v="3"/>
    <n v="30"/>
    <n v="90"/>
    <s v="60+"/>
    <x v="15"/>
    <n v="2023"/>
    <s v="T1-2023"/>
  </r>
  <r>
    <n v="862"/>
    <d v="2023-05-31T00:00:00"/>
    <x v="861"/>
    <x v="0"/>
    <x v="20"/>
    <x v="2"/>
    <n v="4"/>
    <n v="300"/>
    <n v="1200"/>
    <s v="60+"/>
    <x v="43"/>
    <n v="2023"/>
    <s v="T2-2023"/>
  </r>
  <r>
    <n v="863"/>
    <d v="2023-04-24T00:00:00"/>
    <x v="862"/>
    <x v="1"/>
    <x v="4"/>
    <x v="2"/>
    <n v="2"/>
    <n v="25"/>
    <n v="50"/>
    <s v="60+"/>
    <x v="82"/>
    <n v="2023"/>
    <s v="T2-2023"/>
  </r>
  <r>
    <n v="864"/>
    <d v="2023-07-27T00:00:00"/>
    <x v="863"/>
    <x v="1"/>
    <x v="25"/>
    <x v="2"/>
    <n v="1"/>
    <n v="500"/>
    <n v="500"/>
    <s v="60+"/>
    <x v="41"/>
    <n v="2023"/>
    <s v="T3-2023"/>
  </r>
  <r>
    <n v="865"/>
    <d v="2023-12-21T00:00:00"/>
    <x v="864"/>
    <x v="1"/>
    <x v="13"/>
    <x v="1"/>
    <n v="1"/>
    <n v="300"/>
    <n v="300"/>
    <s v="60+"/>
    <x v="81"/>
    <n v="2023"/>
    <s v="T4-2023"/>
  </r>
  <r>
    <n v="866"/>
    <d v="2023-05-05T00:00:00"/>
    <x v="865"/>
    <x v="0"/>
    <x v="46"/>
    <x v="2"/>
    <n v="1"/>
    <n v="50"/>
    <n v="50"/>
    <s v="60+"/>
    <x v="55"/>
    <n v="2023"/>
    <s v="T2-2023"/>
  </r>
  <r>
    <n v="867"/>
    <d v="2023-06-06T00:00:00"/>
    <x v="866"/>
    <x v="0"/>
    <x v="34"/>
    <x v="2"/>
    <n v="1"/>
    <n v="500"/>
    <n v="500"/>
    <s v="60+"/>
    <x v="80"/>
    <n v="2023"/>
    <s v="T2-2023"/>
  </r>
  <r>
    <n v="868"/>
    <d v="2023-12-06T00:00:00"/>
    <x v="867"/>
    <x v="1"/>
    <x v="36"/>
    <x v="2"/>
    <n v="1"/>
    <n v="300"/>
    <n v="300"/>
    <s v="60+"/>
    <x v="8"/>
    <n v="2023"/>
    <s v="T4-2023"/>
  </r>
  <r>
    <n v="869"/>
    <d v="2023-10-25T00:00:00"/>
    <x v="868"/>
    <x v="0"/>
    <x v="3"/>
    <x v="0"/>
    <n v="3"/>
    <n v="500"/>
    <n v="1500"/>
    <s v="60+"/>
    <x v="62"/>
    <n v="2023"/>
    <s v="T4-2023"/>
  </r>
  <r>
    <n v="870"/>
    <d v="2023-07-08T00:00:00"/>
    <x v="869"/>
    <x v="1"/>
    <x v="6"/>
    <x v="2"/>
    <n v="4"/>
    <n v="30"/>
    <n v="120"/>
    <s v="60+"/>
    <x v="51"/>
    <n v="2023"/>
    <s v="T3-2023"/>
  </r>
  <r>
    <n v="871"/>
    <d v="2023-08-31T00:00:00"/>
    <x v="870"/>
    <x v="0"/>
    <x v="17"/>
    <x v="0"/>
    <n v="2"/>
    <n v="30"/>
    <n v="60"/>
    <s v="60+"/>
    <x v="25"/>
    <n v="2023"/>
    <s v="T3-2023"/>
  </r>
  <r>
    <n v="872"/>
    <d v="2023-10-11T00:00:00"/>
    <x v="871"/>
    <x v="1"/>
    <x v="7"/>
    <x v="0"/>
    <n v="3"/>
    <n v="25"/>
    <n v="75"/>
    <s v="60+"/>
    <x v="62"/>
    <n v="2023"/>
    <s v="T4-2023"/>
  </r>
  <r>
    <n v="873"/>
    <d v="2023-09-29T00:00:00"/>
    <x v="872"/>
    <x v="1"/>
    <x v="15"/>
    <x v="2"/>
    <n v="4"/>
    <n v="25"/>
    <n v="100"/>
    <s v="60+"/>
    <x v="74"/>
    <n v="2023"/>
    <s v="T3-2023"/>
  </r>
  <r>
    <n v="874"/>
    <d v="2023-06-26T00:00:00"/>
    <x v="873"/>
    <x v="0"/>
    <x v="43"/>
    <x v="0"/>
    <n v="1"/>
    <n v="30"/>
    <n v="30"/>
    <s v="60+"/>
    <x v="38"/>
    <n v="2023"/>
    <s v="T2-2023"/>
  </r>
  <r>
    <n v="875"/>
    <d v="2023-08-06T00:00:00"/>
    <x v="874"/>
    <x v="1"/>
    <x v="25"/>
    <x v="2"/>
    <n v="4"/>
    <n v="500"/>
    <n v="2000"/>
    <s v="60+"/>
    <x v="77"/>
    <n v="2023"/>
    <s v="T3-2023"/>
  </r>
  <r>
    <n v="876"/>
    <d v="2023-10-09T00:00:00"/>
    <x v="875"/>
    <x v="0"/>
    <x v="22"/>
    <x v="1"/>
    <n v="4"/>
    <n v="30"/>
    <n v="120"/>
    <s v="60+"/>
    <x v="11"/>
    <n v="2023"/>
    <s v="T4-2023"/>
  </r>
  <r>
    <n v="877"/>
    <d v="2023-06-19T00:00:00"/>
    <x v="876"/>
    <x v="1"/>
    <x v="26"/>
    <x v="1"/>
    <n v="1"/>
    <n v="25"/>
    <n v="25"/>
    <s v="60+"/>
    <x v="38"/>
    <n v="2023"/>
    <s v="T2-2023"/>
  </r>
  <r>
    <n v="878"/>
    <d v="2023-06-30T00:00:00"/>
    <x v="877"/>
    <x v="1"/>
    <x v="29"/>
    <x v="1"/>
    <n v="1"/>
    <n v="30"/>
    <n v="30"/>
    <s v="60+"/>
    <x v="57"/>
    <n v="2023"/>
    <s v="T2-2023"/>
  </r>
  <r>
    <n v="879"/>
    <d v="2023-12-26T00:00:00"/>
    <x v="878"/>
    <x v="0"/>
    <x v="9"/>
    <x v="1"/>
    <n v="1"/>
    <n v="30"/>
    <n v="30"/>
    <s v="60+"/>
    <x v="24"/>
    <n v="2023"/>
    <s v="T4-2023"/>
  </r>
  <r>
    <n v="880"/>
    <d v="2023-08-21T00:00:00"/>
    <x v="879"/>
    <x v="0"/>
    <x v="11"/>
    <x v="0"/>
    <n v="2"/>
    <n v="500"/>
    <n v="1000"/>
    <s v="60+"/>
    <x v="48"/>
    <n v="2023"/>
    <s v="T3-2023"/>
  </r>
  <r>
    <n v="881"/>
    <d v="2023-05-19T00:00:00"/>
    <x v="880"/>
    <x v="0"/>
    <x v="11"/>
    <x v="2"/>
    <n v="1"/>
    <n v="300"/>
    <n v="300"/>
    <s v="60+"/>
    <x v="55"/>
    <n v="2023"/>
    <s v="T2-2023"/>
  </r>
  <r>
    <n v="882"/>
    <d v="2023-06-06T00:00:00"/>
    <x v="881"/>
    <x v="1"/>
    <x v="12"/>
    <x v="2"/>
    <n v="2"/>
    <n v="25"/>
    <n v="50"/>
    <s v="60+"/>
    <x v="80"/>
    <n v="2023"/>
    <s v="T2-2023"/>
  </r>
  <r>
    <n v="883"/>
    <d v="2023-05-09T00:00:00"/>
    <x v="882"/>
    <x v="0"/>
    <x v="30"/>
    <x v="2"/>
    <n v="1"/>
    <n v="500"/>
    <n v="500"/>
    <s v="60+"/>
    <x v="27"/>
    <n v="2023"/>
    <s v="T2-2023"/>
  </r>
  <r>
    <n v="884"/>
    <d v="2023-04-29T00:00:00"/>
    <x v="883"/>
    <x v="1"/>
    <x v="1"/>
    <x v="1"/>
    <n v="2"/>
    <n v="30"/>
    <n v="60"/>
    <s v="60+"/>
    <x v="16"/>
    <n v="2023"/>
    <s v="T2-2023"/>
  </r>
  <r>
    <n v="885"/>
    <d v="2023-03-03T00:00:00"/>
    <x v="884"/>
    <x v="1"/>
    <x v="8"/>
    <x v="1"/>
    <n v="4"/>
    <n v="30"/>
    <n v="120"/>
    <s v="60+"/>
    <x v="73"/>
    <n v="2023"/>
    <s v="T1-2023"/>
  </r>
  <r>
    <n v="886"/>
    <d v="2023-04-09T00:00:00"/>
    <x v="885"/>
    <x v="0"/>
    <x v="3"/>
    <x v="2"/>
    <n v="3"/>
    <n v="300"/>
    <n v="900"/>
    <s v="60+"/>
    <x v="17"/>
    <n v="2023"/>
    <s v="T2-2023"/>
  </r>
  <r>
    <n v="887"/>
    <d v="2023-06-11T00:00:00"/>
    <x v="886"/>
    <x v="0"/>
    <x v="42"/>
    <x v="1"/>
    <n v="4"/>
    <n v="25"/>
    <n v="100"/>
    <s v="60+"/>
    <x v="59"/>
    <n v="2023"/>
    <s v="T2-2023"/>
  </r>
  <r>
    <n v="888"/>
    <d v="2023-03-03T00:00:00"/>
    <x v="887"/>
    <x v="1"/>
    <x v="8"/>
    <x v="2"/>
    <n v="4"/>
    <n v="25"/>
    <n v="100"/>
    <s v="60+"/>
    <x v="73"/>
    <n v="2023"/>
    <s v="T1-2023"/>
  </r>
  <r>
    <n v="889"/>
    <d v="2023-10-02T00:00:00"/>
    <x v="888"/>
    <x v="1"/>
    <x v="10"/>
    <x v="2"/>
    <n v="1"/>
    <n v="50"/>
    <n v="50"/>
    <s v="60+"/>
    <x v="11"/>
    <n v="2023"/>
    <s v="T4-2023"/>
  </r>
  <r>
    <n v="890"/>
    <d v="2023-12-20T00:00:00"/>
    <x v="889"/>
    <x v="0"/>
    <x v="0"/>
    <x v="2"/>
    <n v="2"/>
    <n v="25"/>
    <n v="50"/>
    <s v="60+"/>
    <x v="8"/>
    <n v="2023"/>
    <s v="T4-2023"/>
  </r>
  <r>
    <n v="891"/>
    <d v="2023-04-05T00:00:00"/>
    <x v="890"/>
    <x v="0"/>
    <x v="41"/>
    <x v="2"/>
    <n v="3"/>
    <n v="300"/>
    <n v="900"/>
    <s v="60+"/>
    <x v="22"/>
    <n v="2023"/>
    <s v="T2-2023"/>
  </r>
  <r>
    <n v="892"/>
    <d v="2023-04-09T00:00:00"/>
    <x v="891"/>
    <x v="0"/>
    <x v="29"/>
    <x v="2"/>
    <n v="1"/>
    <n v="50"/>
    <n v="50"/>
    <s v="60+"/>
    <x v="17"/>
    <n v="2023"/>
    <s v="T2-2023"/>
  </r>
  <r>
    <n v="893"/>
    <d v="2023-04-21T00:00:00"/>
    <x v="892"/>
    <x v="0"/>
    <x v="19"/>
    <x v="2"/>
    <n v="1"/>
    <n v="50"/>
    <n v="50"/>
    <s v="60+"/>
    <x v="33"/>
    <n v="2023"/>
    <s v="T2-2023"/>
  </r>
  <r>
    <n v="894"/>
    <d v="2023-09-05T00:00:00"/>
    <x v="893"/>
    <x v="0"/>
    <x v="8"/>
    <x v="2"/>
    <n v="1"/>
    <n v="30"/>
    <n v="30"/>
    <s v="60+"/>
    <x v="83"/>
    <n v="2023"/>
    <s v="T3-2023"/>
  </r>
  <r>
    <n v="895"/>
    <d v="2023-05-22T00:00:00"/>
    <x v="894"/>
    <x v="1"/>
    <x v="28"/>
    <x v="1"/>
    <n v="4"/>
    <n v="30"/>
    <n v="120"/>
    <s v="60+"/>
    <x v="47"/>
    <n v="2023"/>
    <s v="T2-2023"/>
  </r>
  <r>
    <n v="896"/>
    <d v="2023-10-29T00:00:00"/>
    <x v="895"/>
    <x v="1"/>
    <x v="4"/>
    <x v="2"/>
    <n v="2"/>
    <n v="25"/>
    <n v="50"/>
    <s v="60+"/>
    <x v="21"/>
    <n v="2023"/>
    <s v="T4-2023"/>
  </r>
  <r>
    <n v="897"/>
    <d v="2023-09-26T00:00:00"/>
    <x v="896"/>
    <x v="1"/>
    <x v="12"/>
    <x v="2"/>
    <n v="2"/>
    <n v="50"/>
    <n v="100"/>
    <s v="60+"/>
    <x v="83"/>
    <n v="2023"/>
    <s v="T3-2023"/>
  </r>
  <r>
    <n v="898"/>
    <d v="2023-11-02T00:00:00"/>
    <x v="897"/>
    <x v="1"/>
    <x v="13"/>
    <x v="1"/>
    <n v="3"/>
    <n v="30"/>
    <n v="90"/>
    <s v="60+"/>
    <x v="71"/>
    <n v="2023"/>
    <s v="T4-2023"/>
  </r>
  <r>
    <n v="899"/>
    <d v="2023-05-25T00:00:00"/>
    <x v="898"/>
    <x v="0"/>
    <x v="1"/>
    <x v="1"/>
    <n v="2"/>
    <n v="300"/>
    <n v="600"/>
    <s v="60+"/>
    <x v="61"/>
    <n v="2023"/>
    <s v="T2-2023"/>
  </r>
  <r>
    <n v="900"/>
    <d v="2023-02-21T00:00:00"/>
    <x v="899"/>
    <x v="0"/>
    <x v="34"/>
    <x v="1"/>
    <n v="2"/>
    <n v="30"/>
    <n v="60"/>
    <s v="60+"/>
    <x v="10"/>
    <n v="2023"/>
    <s v="T1-2023"/>
  </r>
  <r>
    <n v="901"/>
    <d v="2023-04-10T00:00:00"/>
    <x v="900"/>
    <x v="0"/>
    <x v="33"/>
    <x v="2"/>
    <n v="1"/>
    <n v="30"/>
    <n v="30"/>
    <s v="60+"/>
    <x v="82"/>
    <n v="2023"/>
    <s v="T2-2023"/>
  </r>
  <r>
    <n v="902"/>
    <d v="2023-06-01T00:00:00"/>
    <x v="901"/>
    <x v="1"/>
    <x v="31"/>
    <x v="0"/>
    <n v="1"/>
    <n v="50"/>
    <n v="50"/>
    <s v="60+"/>
    <x v="34"/>
    <n v="2023"/>
    <s v="T2-2023"/>
  </r>
  <r>
    <n v="903"/>
    <d v="2023-04-27T00:00:00"/>
    <x v="902"/>
    <x v="1"/>
    <x v="25"/>
    <x v="0"/>
    <n v="4"/>
    <n v="50"/>
    <n v="200"/>
    <s v="60+"/>
    <x v="46"/>
    <n v="2023"/>
    <s v="T2-2023"/>
  </r>
  <r>
    <n v="904"/>
    <d v="2023-07-04T00:00:00"/>
    <x v="903"/>
    <x v="0"/>
    <x v="20"/>
    <x v="1"/>
    <n v="1"/>
    <n v="500"/>
    <n v="500"/>
    <s v="60+"/>
    <x v="60"/>
    <n v="2023"/>
    <s v="T3-2023"/>
  </r>
  <r>
    <n v="905"/>
    <d v="2023-04-02T00:00:00"/>
    <x v="904"/>
    <x v="0"/>
    <x v="26"/>
    <x v="0"/>
    <n v="1"/>
    <n v="300"/>
    <n v="300"/>
    <s v="60+"/>
    <x v="17"/>
    <n v="2023"/>
    <s v="T2-2023"/>
  </r>
  <r>
    <n v="906"/>
    <d v="2023-06-04T00:00:00"/>
    <x v="905"/>
    <x v="1"/>
    <x v="29"/>
    <x v="1"/>
    <n v="1"/>
    <n v="50"/>
    <n v="50"/>
    <s v="60+"/>
    <x v="59"/>
    <n v="2023"/>
    <s v="T2-2023"/>
  </r>
  <r>
    <n v="907"/>
    <d v="2023-01-08T00:00:00"/>
    <x v="906"/>
    <x v="1"/>
    <x v="5"/>
    <x v="2"/>
    <n v="1"/>
    <n v="25"/>
    <n v="25"/>
    <s v="60+"/>
    <x v="58"/>
    <n v="2023"/>
    <s v="T1-2023"/>
  </r>
  <r>
    <n v="908"/>
    <d v="2023-12-29T00:00:00"/>
    <x v="907"/>
    <x v="0"/>
    <x v="6"/>
    <x v="0"/>
    <n v="4"/>
    <n v="300"/>
    <n v="1200"/>
    <s v="60+"/>
    <x v="70"/>
    <n v="2023"/>
    <s v="T4-2023"/>
  </r>
  <r>
    <n v="909"/>
    <d v="2023-10-01T00:00:00"/>
    <x v="908"/>
    <x v="0"/>
    <x v="1"/>
    <x v="2"/>
    <n v="1"/>
    <n v="300"/>
    <n v="300"/>
    <s v="60+"/>
    <x v="21"/>
    <n v="2023"/>
    <s v="T4-2023"/>
  </r>
  <r>
    <n v="910"/>
    <d v="2023-03-06T00:00:00"/>
    <x v="909"/>
    <x v="1"/>
    <x v="29"/>
    <x v="0"/>
    <n v="3"/>
    <n v="50"/>
    <n v="150"/>
    <s v="60+"/>
    <x v="6"/>
    <n v="2023"/>
    <s v="T1-2023"/>
  </r>
  <r>
    <n v="911"/>
    <d v="2023-05-21T00:00:00"/>
    <x v="910"/>
    <x v="0"/>
    <x v="13"/>
    <x v="2"/>
    <n v="3"/>
    <n v="300"/>
    <n v="900"/>
    <s v="60+"/>
    <x v="3"/>
    <n v="2023"/>
    <s v="T2-2023"/>
  </r>
  <r>
    <n v="912"/>
    <d v="2023-01-24T00:00:00"/>
    <x v="911"/>
    <x v="0"/>
    <x v="25"/>
    <x v="0"/>
    <n v="3"/>
    <n v="50"/>
    <n v="150"/>
    <s v="60+"/>
    <x v="13"/>
    <n v="2023"/>
    <s v="T1-2023"/>
  </r>
  <r>
    <n v="913"/>
    <d v="2023-01-28T00:00:00"/>
    <x v="912"/>
    <x v="0"/>
    <x v="38"/>
    <x v="2"/>
    <n v="3"/>
    <n v="30"/>
    <n v="90"/>
    <s v="60+"/>
    <x v="20"/>
    <n v="2023"/>
    <s v="T1-2023"/>
  </r>
  <r>
    <n v="914"/>
    <d v="2023-10-11T00:00:00"/>
    <x v="913"/>
    <x v="1"/>
    <x v="42"/>
    <x v="2"/>
    <n v="1"/>
    <n v="500"/>
    <n v="500"/>
    <s v="60+"/>
    <x v="62"/>
    <n v="2023"/>
    <s v="T4-2023"/>
  </r>
  <r>
    <n v="915"/>
    <d v="2023-05-30T00:00:00"/>
    <x v="914"/>
    <x v="1"/>
    <x v="1"/>
    <x v="0"/>
    <n v="3"/>
    <n v="30"/>
    <n v="90"/>
    <s v="60+"/>
    <x v="27"/>
    <n v="2023"/>
    <s v="T2-2023"/>
  </r>
  <r>
    <n v="916"/>
    <d v="2023-12-24T00:00:00"/>
    <x v="915"/>
    <x v="1"/>
    <x v="40"/>
    <x v="2"/>
    <n v="1"/>
    <n v="50"/>
    <n v="50"/>
    <s v="60+"/>
    <x v="30"/>
    <n v="2023"/>
    <s v="T4-2023"/>
  </r>
  <r>
    <n v="917"/>
    <d v="2023-03-06T00:00:00"/>
    <x v="916"/>
    <x v="1"/>
    <x v="35"/>
    <x v="2"/>
    <n v="4"/>
    <n v="50"/>
    <n v="200"/>
    <s v="60+"/>
    <x v="6"/>
    <n v="2023"/>
    <s v="T1-2023"/>
  </r>
  <r>
    <n v="918"/>
    <d v="2023-11-23T00:00:00"/>
    <x v="917"/>
    <x v="1"/>
    <x v="13"/>
    <x v="2"/>
    <n v="3"/>
    <n v="30"/>
    <n v="90"/>
    <s v="60+"/>
    <x v="71"/>
    <n v="2023"/>
    <s v="T4-2023"/>
  </r>
  <r>
    <n v="919"/>
    <d v="2023-09-09T00:00:00"/>
    <x v="918"/>
    <x v="1"/>
    <x v="11"/>
    <x v="0"/>
    <n v="2"/>
    <n v="25"/>
    <n v="50"/>
    <s v="60+"/>
    <x v="18"/>
    <n v="2023"/>
    <s v="T3-2023"/>
  </r>
  <r>
    <n v="920"/>
    <d v="2023-02-22T00:00:00"/>
    <x v="919"/>
    <x v="1"/>
    <x v="20"/>
    <x v="0"/>
    <n v="3"/>
    <n v="25"/>
    <n v="75"/>
    <s v="60+"/>
    <x v="7"/>
    <n v="2023"/>
    <s v="T1-2023"/>
  </r>
  <r>
    <n v="921"/>
    <d v="2023-01-07T00:00:00"/>
    <x v="920"/>
    <x v="0"/>
    <x v="25"/>
    <x v="2"/>
    <n v="3"/>
    <n v="25"/>
    <n v="75"/>
    <s v="60+"/>
    <x v="20"/>
    <n v="2023"/>
    <s v="T1-2023"/>
  </r>
  <r>
    <n v="922"/>
    <d v="2023-10-21T00:00:00"/>
    <x v="921"/>
    <x v="0"/>
    <x v="41"/>
    <x v="2"/>
    <n v="1"/>
    <n v="50"/>
    <n v="50"/>
    <s v="60+"/>
    <x v="9"/>
    <n v="2023"/>
    <s v="T4-2023"/>
  </r>
  <r>
    <n v="923"/>
    <d v="2023-05-26T00:00:00"/>
    <x v="922"/>
    <x v="0"/>
    <x v="40"/>
    <x v="0"/>
    <n v="3"/>
    <n v="300"/>
    <n v="900"/>
    <s v="60+"/>
    <x v="55"/>
    <n v="2023"/>
    <s v="T2-2023"/>
  </r>
  <r>
    <n v="924"/>
    <d v="2023-08-29T00:00:00"/>
    <x v="923"/>
    <x v="0"/>
    <x v="28"/>
    <x v="0"/>
    <n v="2"/>
    <n v="50"/>
    <n v="100"/>
    <s v="60+"/>
    <x v="65"/>
    <n v="2023"/>
    <s v="T3-2023"/>
  </r>
  <r>
    <n v="925"/>
    <d v="2023-09-03T00:00:00"/>
    <x v="924"/>
    <x v="0"/>
    <x v="36"/>
    <x v="2"/>
    <n v="1"/>
    <n v="300"/>
    <n v="300"/>
    <s v="60+"/>
    <x v="68"/>
    <n v="2023"/>
    <s v="T3-2023"/>
  </r>
  <r>
    <n v="926"/>
    <d v="2023-08-14T00:00:00"/>
    <x v="925"/>
    <x v="0"/>
    <x v="11"/>
    <x v="2"/>
    <n v="1"/>
    <n v="30"/>
    <n v="30"/>
    <s v="60+"/>
    <x v="48"/>
    <n v="2023"/>
    <s v="T3-2023"/>
  </r>
  <r>
    <n v="927"/>
    <d v="2023-06-24T00:00:00"/>
    <x v="926"/>
    <x v="0"/>
    <x v="22"/>
    <x v="2"/>
    <n v="4"/>
    <n v="500"/>
    <n v="2000"/>
    <s v="60+"/>
    <x v="31"/>
    <n v="2023"/>
    <s v="T2-2023"/>
  </r>
  <r>
    <n v="928"/>
    <d v="2023-04-05T00:00:00"/>
    <x v="927"/>
    <x v="1"/>
    <x v="10"/>
    <x v="1"/>
    <n v="4"/>
    <n v="300"/>
    <n v="1200"/>
    <s v="60+"/>
    <x v="22"/>
    <n v="2023"/>
    <s v="T2-2023"/>
  </r>
  <r>
    <n v="929"/>
    <d v="2023-01-27T00:00:00"/>
    <x v="928"/>
    <x v="1"/>
    <x v="9"/>
    <x v="0"/>
    <n v="3"/>
    <n v="25"/>
    <n v="75"/>
    <s v="60+"/>
    <x v="2"/>
    <n v="2023"/>
    <s v="T1-2023"/>
  </r>
  <r>
    <n v="930"/>
    <d v="2023-05-10T00:00:00"/>
    <x v="929"/>
    <x v="0"/>
    <x v="31"/>
    <x v="1"/>
    <n v="4"/>
    <n v="50"/>
    <n v="200"/>
    <s v="60+"/>
    <x v="43"/>
    <n v="2023"/>
    <s v="T2-2023"/>
  </r>
  <r>
    <n v="931"/>
    <d v="2023-09-02T00:00:00"/>
    <x v="930"/>
    <x v="0"/>
    <x v="4"/>
    <x v="0"/>
    <n v="4"/>
    <n v="30"/>
    <n v="120"/>
    <s v="60+"/>
    <x v="18"/>
    <n v="2023"/>
    <s v="T3-2023"/>
  </r>
  <r>
    <n v="932"/>
    <d v="2023-02-28T00:00:00"/>
    <x v="931"/>
    <x v="1"/>
    <x v="5"/>
    <x v="0"/>
    <n v="4"/>
    <n v="25"/>
    <n v="100"/>
    <s v="60+"/>
    <x v="10"/>
    <n v="2023"/>
    <s v="T1-2023"/>
  </r>
  <r>
    <n v="933"/>
    <d v="2023-02-03T00:00:00"/>
    <x v="932"/>
    <x v="0"/>
    <x v="11"/>
    <x v="0"/>
    <n v="1"/>
    <n v="30"/>
    <n v="30"/>
    <s v="60+"/>
    <x v="15"/>
    <n v="2023"/>
    <s v="T1-2023"/>
  </r>
  <r>
    <n v="934"/>
    <d v="2023-07-25T00:00:00"/>
    <x v="933"/>
    <x v="0"/>
    <x v="4"/>
    <x v="0"/>
    <n v="1"/>
    <n v="500"/>
    <n v="500"/>
    <s v="60+"/>
    <x v="60"/>
    <n v="2023"/>
    <s v="T3-2023"/>
  </r>
  <r>
    <n v="935"/>
    <d v="2023-09-09T00:00:00"/>
    <x v="934"/>
    <x v="1"/>
    <x v="0"/>
    <x v="0"/>
    <n v="1"/>
    <n v="50"/>
    <n v="50"/>
    <s v="60+"/>
    <x v="18"/>
    <n v="2023"/>
    <s v="T3-2023"/>
  </r>
  <r>
    <n v="936"/>
    <d v="2023-02-07T00:00:00"/>
    <x v="935"/>
    <x v="0"/>
    <x v="35"/>
    <x v="0"/>
    <n v="4"/>
    <n v="50"/>
    <n v="200"/>
    <s v="60+"/>
    <x v="10"/>
    <n v="2023"/>
    <s v="T1-2023"/>
  </r>
  <r>
    <n v="937"/>
    <d v="2023-10-23T00:00:00"/>
    <x v="936"/>
    <x v="1"/>
    <x v="17"/>
    <x v="0"/>
    <n v="1"/>
    <n v="500"/>
    <n v="500"/>
    <s v="60+"/>
    <x v="11"/>
    <n v="2023"/>
    <s v="T4-2023"/>
  </r>
  <r>
    <n v="938"/>
    <d v="2023-11-19T00:00:00"/>
    <x v="937"/>
    <x v="0"/>
    <x v="19"/>
    <x v="1"/>
    <n v="4"/>
    <n v="50"/>
    <n v="200"/>
    <s v="60+"/>
    <x v="19"/>
    <n v="2023"/>
    <s v="T4-2023"/>
  </r>
  <r>
    <n v="939"/>
    <d v="2023-12-18T00:00:00"/>
    <x v="938"/>
    <x v="1"/>
    <x v="6"/>
    <x v="2"/>
    <n v="1"/>
    <n v="300"/>
    <n v="300"/>
    <s v="60+"/>
    <x v="76"/>
    <n v="2023"/>
    <s v="T4-2023"/>
  </r>
  <r>
    <n v="940"/>
    <d v="2023-01-28T00:00:00"/>
    <x v="939"/>
    <x v="1"/>
    <x v="29"/>
    <x v="2"/>
    <n v="1"/>
    <n v="30"/>
    <n v="30"/>
    <s v="60+"/>
    <x v="20"/>
    <n v="2023"/>
    <s v="T1-2023"/>
  </r>
  <r>
    <n v="941"/>
    <d v="2023-03-19T00:00:00"/>
    <x v="940"/>
    <x v="1"/>
    <x v="35"/>
    <x v="1"/>
    <n v="2"/>
    <n v="25"/>
    <n v="50"/>
    <s v="60+"/>
    <x v="40"/>
    <n v="2023"/>
    <s v="T1-2023"/>
  </r>
  <r>
    <n v="942"/>
    <d v="2023-03-18T00:00:00"/>
    <x v="941"/>
    <x v="0"/>
    <x v="25"/>
    <x v="1"/>
    <n v="3"/>
    <n v="500"/>
    <n v="1500"/>
    <s v="60+"/>
    <x v="49"/>
    <n v="2023"/>
    <s v="T1-2023"/>
  </r>
  <r>
    <n v="943"/>
    <d v="2023-10-16T00:00:00"/>
    <x v="942"/>
    <x v="1"/>
    <x v="35"/>
    <x v="1"/>
    <n v="4"/>
    <n v="300"/>
    <n v="1200"/>
    <s v="60+"/>
    <x v="11"/>
    <n v="2023"/>
    <s v="T4-2023"/>
  </r>
  <r>
    <n v="944"/>
    <d v="2023-06-05T00:00:00"/>
    <x v="943"/>
    <x v="0"/>
    <x v="24"/>
    <x v="1"/>
    <n v="2"/>
    <n v="25"/>
    <n v="50"/>
    <s v="60+"/>
    <x v="38"/>
    <n v="2023"/>
    <s v="T2-2023"/>
  </r>
  <r>
    <n v="945"/>
    <d v="2023-02-13T00:00:00"/>
    <x v="944"/>
    <x v="0"/>
    <x v="4"/>
    <x v="0"/>
    <n v="1"/>
    <n v="25"/>
    <n v="25"/>
    <s v="60+"/>
    <x v="1"/>
    <n v="2023"/>
    <s v="T1-2023"/>
  </r>
  <r>
    <n v="946"/>
    <d v="2023-05-08T00:00:00"/>
    <x v="945"/>
    <x v="0"/>
    <x v="17"/>
    <x v="2"/>
    <n v="4"/>
    <n v="500"/>
    <n v="2000"/>
    <s v="60+"/>
    <x v="47"/>
    <n v="2023"/>
    <s v="T2-2023"/>
  </r>
  <r>
    <n v="947"/>
    <d v="2023-03-02T00:00:00"/>
    <x v="946"/>
    <x v="0"/>
    <x v="2"/>
    <x v="0"/>
    <n v="1"/>
    <n v="300"/>
    <n v="300"/>
    <s v="60+"/>
    <x v="29"/>
    <n v="2023"/>
    <s v="T1-2023"/>
  </r>
  <r>
    <n v="948"/>
    <d v="2023-10-13T00:00:00"/>
    <x v="947"/>
    <x v="1"/>
    <x v="9"/>
    <x v="2"/>
    <n v="3"/>
    <n v="25"/>
    <n v="75"/>
    <s v="60+"/>
    <x v="56"/>
    <n v="2023"/>
    <s v="T4-2023"/>
  </r>
  <r>
    <n v="949"/>
    <d v="2023-08-02T00:00:00"/>
    <x v="948"/>
    <x v="1"/>
    <x v="41"/>
    <x v="2"/>
    <n v="2"/>
    <n v="25"/>
    <n v="50"/>
    <s v="60+"/>
    <x v="64"/>
    <n v="2023"/>
    <s v="T3-2023"/>
  </r>
  <r>
    <n v="950"/>
    <d v="2023-11-07T00:00:00"/>
    <x v="949"/>
    <x v="0"/>
    <x v="32"/>
    <x v="1"/>
    <n v="3"/>
    <n v="300"/>
    <n v="900"/>
    <s v="60+"/>
    <x v="53"/>
    <n v="2023"/>
    <s v="T4-2023"/>
  </r>
  <r>
    <n v="951"/>
    <d v="2023-11-02T00:00:00"/>
    <x v="950"/>
    <x v="0"/>
    <x v="44"/>
    <x v="0"/>
    <n v="2"/>
    <n v="50"/>
    <n v="100"/>
    <s v="60+"/>
    <x v="71"/>
    <n v="2023"/>
    <s v="T4-2023"/>
  </r>
  <r>
    <n v="952"/>
    <d v="2023-11-13T00:00:00"/>
    <x v="951"/>
    <x v="1"/>
    <x v="35"/>
    <x v="1"/>
    <n v="1"/>
    <n v="25"/>
    <n v="25"/>
    <s v="60+"/>
    <x v="39"/>
    <n v="2023"/>
    <s v="T4-2023"/>
  </r>
  <r>
    <n v="953"/>
    <d v="2023-04-26T00:00:00"/>
    <x v="952"/>
    <x v="0"/>
    <x v="5"/>
    <x v="0"/>
    <n v="3"/>
    <n v="30"/>
    <n v="90"/>
    <s v="60+"/>
    <x v="22"/>
    <n v="2023"/>
    <s v="T2-2023"/>
  </r>
  <r>
    <n v="954"/>
    <d v="2023-09-25T00:00:00"/>
    <x v="953"/>
    <x v="1"/>
    <x v="2"/>
    <x v="2"/>
    <n v="3"/>
    <n v="300"/>
    <n v="900"/>
    <s v="60+"/>
    <x v="67"/>
    <n v="2023"/>
    <s v="T3-2023"/>
  </r>
  <r>
    <n v="955"/>
    <d v="2023-07-14T00:00:00"/>
    <x v="954"/>
    <x v="0"/>
    <x v="26"/>
    <x v="1"/>
    <n v="1"/>
    <n v="25"/>
    <n v="25"/>
    <s v="60+"/>
    <x v="35"/>
    <n v="2023"/>
    <s v="T3-2023"/>
  </r>
  <r>
    <n v="956"/>
    <d v="2023-08-19T00:00:00"/>
    <x v="955"/>
    <x v="0"/>
    <x v="4"/>
    <x v="1"/>
    <n v="3"/>
    <n v="500"/>
    <n v="1500"/>
    <s v="60+"/>
    <x v="12"/>
    <n v="2023"/>
    <s v="T3-2023"/>
  </r>
  <r>
    <n v="957"/>
    <d v="2023-08-15T00:00:00"/>
    <x v="956"/>
    <x v="1"/>
    <x v="43"/>
    <x v="2"/>
    <n v="4"/>
    <n v="30"/>
    <n v="120"/>
    <s v="60+"/>
    <x v="65"/>
    <n v="2023"/>
    <s v="T3-2023"/>
  </r>
  <r>
    <n v="958"/>
    <d v="2023-06-02T00:00:00"/>
    <x v="957"/>
    <x v="0"/>
    <x v="17"/>
    <x v="2"/>
    <n v="2"/>
    <n v="25"/>
    <n v="50"/>
    <s v="60+"/>
    <x v="57"/>
    <n v="2023"/>
    <s v="T2-2023"/>
  </r>
  <r>
    <n v="959"/>
    <d v="2023-10-29T00:00:00"/>
    <x v="958"/>
    <x v="1"/>
    <x v="13"/>
    <x v="2"/>
    <n v="2"/>
    <n v="30"/>
    <n v="60"/>
    <s v="60+"/>
    <x v="21"/>
    <n v="2023"/>
    <s v="T4-2023"/>
  </r>
  <r>
    <n v="960"/>
    <d v="2023-08-08T00:00:00"/>
    <x v="959"/>
    <x v="0"/>
    <x v="42"/>
    <x v="1"/>
    <n v="2"/>
    <n v="30"/>
    <n v="60"/>
    <s v="60+"/>
    <x v="65"/>
    <n v="2023"/>
    <s v="T3-2023"/>
  </r>
  <r>
    <n v="961"/>
    <d v="2023-06-06T00:00:00"/>
    <x v="960"/>
    <x v="0"/>
    <x v="45"/>
    <x v="0"/>
    <n v="4"/>
    <n v="50"/>
    <n v="200"/>
    <s v="60+"/>
    <x v="80"/>
    <n v="2023"/>
    <s v="T2-2023"/>
  </r>
  <r>
    <n v="962"/>
    <d v="2023-10-19T00:00:00"/>
    <x v="961"/>
    <x v="0"/>
    <x v="24"/>
    <x v="1"/>
    <n v="2"/>
    <n v="30"/>
    <n v="60"/>
    <s v="60+"/>
    <x v="66"/>
    <n v="2023"/>
    <s v="T4-2023"/>
  </r>
  <r>
    <n v="963"/>
    <d v="2023-11-14T00:00:00"/>
    <x v="962"/>
    <x v="1"/>
    <x v="28"/>
    <x v="0"/>
    <n v="1"/>
    <n v="50"/>
    <n v="50"/>
    <s v="60+"/>
    <x v="53"/>
    <n v="2023"/>
    <s v="T4-2023"/>
  </r>
  <r>
    <n v="964"/>
    <d v="2023-01-31T00:00:00"/>
    <x v="963"/>
    <x v="0"/>
    <x v="46"/>
    <x v="1"/>
    <n v="3"/>
    <n v="300"/>
    <n v="900"/>
    <s v="60+"/>
    <x v="13"/>
    <n v="2023"/>
    <s v="T1-2023"/>
  </r>
  <r>
    <n v="965"/>
    <d v="2023-11-09T00:00:00"/>
    <x v="964"/>
    <x v="0"/>
    <x v="11"/>
    <x v="1"/>
    <n v="4"/>
    <n v="50"/>
    <n v="200"/>
    <s v="60+"/>
    <x v="71"/>
    <n v="2023"/>
    <s v="T4-2023"/>
  </r>
  <r>
    <n v="966"/>
    <d v="2023-02-20T00:00:00"/>
    <x v="965"/>
    <x v="0"/>
    <x v="43"/>
    <x v="2"/>
    <n v="2"/>
    <n v="500"/>
    <n v="1000"/>
    <s v="60+"/>
    <x v="1"/>
    <n v="2023"/>
    <s v="T1-2023"/>
  </r>
  <r>
    <n v="967"/>
    <d v="2023-04-17T00:00:00"/>
    <x v="966"/>
    <x v="0"/>
    <x v="17"/>
    <x v="0"/>
    <n v="1"/>
    <n v="25"/>
    <n v="25"/>
    <s v="60+"/>
    <x v="82"/>
    <n v="2023"/>
    <s v="T2-2023"/>
  </r>
  <r>
    <n v="968"/>
    <d v="2023-11-17T00:00:00"/>
    <x v="967"/>
    <x v="1"/>
    <x v="27"/>
    <x v="1"/>
    <n v="3"/>
    <n v="300"/>
    <n v="900"/>
    <s v="60+"/>
    <x v="0"/>
    <n v="2023"/>
    <s v="T4-2023"/>
  </r>
  <r>
    <n v="969"/>
    <d v="2023-04-19T00:00:00"/>
    <x v="968"/>
    <x v="1"/>
    <x v="30"/>
    <x v="1"/>
    <n v="3"/>
    <n v="300"/>
    <n v="900"/>
    <s v="60+"/>
    <x v="22"/>
    <n v="2023"/>
    <s v="T2-2023"/>
  </r>
  <r>
    <n v="970"/>
    <d v="2023-05-16T00:00:00"/>
    <x v="969"/>
    <x v="0"/>
    <x v="42"/>
    <x v="2"/>
    <n v="4"/>
    <n v="500"/>
    <n v="2000"/>
    <s v="60+"/>
    <x v="27"/>
    <n v="2023"/>
    <s v="T2-2023"/>
  </r>
  <r>
    <n v="971"/>
    <d v="2023-12-05T00:00:00"/>
    <x v="970"/>
    <x v="1"/>
    <x v="15"/>
    <x v="2"/>
    <n v="4"/>
    <n v="50"/>
    <n v="200"/>
    <s v="60+"/>
    <x v="24"/>
    <n v="2023"/>
    <s v="T4-2023"/>
  </r>
  <r>
    <n v="972"/>
    <d v="2023-02-11T00:00:00"/>
    <x v="971"/>
    <x v="0"/>
    <x v="19"/>
    <x v="0"/>
    <n v="4"/>
    <n v="25"/>
    <n v="100"/>
    <s v="60+"/>
    <x v="78"/>
    <n v="2023"/>
    <s v="T1-2023"/>
  </r>
  <r>
    <n v="973"/>
    <d v="2023-03-22T00:00:00"/>
    <x v="972"/>
    <x v="0"/>
    <x v="43"/>
    <x v="1"/>
    <n v="1"/>
    <n v="50"/>
    <n v="50"/>
    <s v="60+"/>
    <x v="54"/>
    <n v="2023"/>
    <s v="T1-2023"/>
  </r>
  <r>
    <n v="974"/>
    <d v="2023-05-03T00:00:00"/>
    <x v="973"/>
    <x v="0"/>
    <x v="16"/>
    <x v="0"/>
    <n v="1"/>
    <n v="30"/>
    <n v="30"/>
    <s v="60+"/>
    <x v="43"/>
    <n v="2023"/>
    <s v="T2-2023"/>
  </r>
  <r>
    <n v="975"/>
    <d v="2023-03-30T00:00:00"/>
    <x v="974"/>
    <x v="1"/>
    <x v="37"/>
    <x v="1"/>
    <n v="4"/>
    <n v="50"/>
    <n v="200"/>
    <s v="60+"/>
    <x v="29"/>
    <n v="2023"/>
    <s v="T1-2023"/>
  </r>
  <r>
    <n v="976"/>
    <d v="2023-10-10T00:00:00"/>
    <x v="975"/>
    <x v="1"/>
    <x v="27"/>
    <x v="0"/>
    <n v="2"/>
    <n v="300"/>
    <n v="600"/>
    <s v="60+"/>
    <x v="42"/>
    <n v="2023"/>
    <s v="T4-2023"/>
  </r>
  <r>
    <n v="977"/>
    <d v="2023-02-08T00:00:00"/>
    <x v="976"/>
    <x v="1"/>
    <x v="10"/>
    <x v="2"/>
    <n v="3"/>
    <n v="25"/>
    <n v="75"/>
    <s v="60+"/>
    <x v="7"/>
    <n v="2023"/>
    <s v="T1-2023"/>
  </r>
  <r>
    <n v="978"/>
    <d v="2023-03-22T00:00:00"/>
    <x v="977"/>
    <x v="1"/>
    <x v="45"/>
    <x v="1"/>
    <n v="3"/>
    <n v="50"/>
    <n v="150"/>
    <s v="60+"/>
    <x v="54"/>
    <n v="2023"/>
    <s v="T1-2023"/>
  </r>
  <r>
    <n v="979"/>
    <d v="2023-01-02T00:00:00"/>
    <x v="978"/>
    <x v="1"/>
    <x v="14"/>
    <x v="0"/>
    <n v="1"/>
    <n v="25"/>
    <n v="25"/>
    <s v="60+"/>
    <x v="14"/>
    <n v="2023"/>
    <s v="T1-2023"/>
  </r>
  <r>
    <n v="980"/>
    <d v="2023-07-29T00:00:00"/>
    <x v="979"/>
    <x v="1"/>
    <x v="33"/>
    <x v="2"/>
    <n v="3"/>
    <n v="25"/>
    <n v="75"/>
    <s v="60+"/>
    <x v="51"/>
    <n v="2023"/>
    <s v="T3-2023"/>
  </r>
  <r>
    <n v="981"/>
    <d v="2023-08-19T00:00:00"/>
    <x v="980"/>
    <x v="1"/>
    <x v="4"/>
    <x v="2"/>
    <n v="2"/>
    <n v="30"/>
    <n v="60"/>
    <s v="60+"/>
    <x v="12"/>
    <n v="2023"/>
    <s v="T3-2023"/>
  </r>
  <r>
    <n v="982"/>
    <d v="2023-12-19T00:00:00"/>
    <x v="981"/>
    <x v="1"/>
    <x v="6"/>
    <x v="0"/>
    <n v="3"/>
    <n v="30"/>
    <n v="90"/>
    <s v="60+"/>
    <x v="24"/>
    <n v="2023"/>
    <s v="T4-2023"/>
  </r>
  <r>
    <n v="983"/>
    <d v="2023-11-01T00:00:00"/>
    <x v="982"/>
    <x v="1"/>
    <x v="38"/>
    <x v="1"/>
    <n v="1"/>
    <n v="300"/>
    <n v="300"/>
    <s v="60+"/>
    <x v="23"/>
    <n v="2023"/>
    <s v="T4-2023"/>
  </r>
  <r>
    <n v="984"/>
    <d v="2023-08-29T00:00:00"/>
    <x v="983"/>
    <x v="0"/>
    <x v="37"/>
    <x v="1"/>
    <n v="1"/>
    <n v="500"/>
    <n v="500"/>
    <s v="60+"/>
    <x v="65"/>
    <n v="2023"/>
    <s v="T3-2023"/>
  </r>
  <r>
    <n v="985"/>
    <d v="2023-05-30T00:00:00"/>
    <x v="984"/>
    <x v="1"/>
    <x v="14"/>
    <x v="2"/>
    <n v="2"/>
    <n v="25"/>
    <n v="50"/>
    <s v="60+"/>
    <x v="27"/>
    <n v="2023"/>
    <s v="T2-2023"/>
  </r>
  <r>
    <n v="986"/>
    <d v="2023-01-17T00:00:00"/>
    <x v="985"/>
    <x v="1"/>
    <x v="19"/>
    <x v="1"/>
    <n v="2"/>
    <n v="500"/>
    <n v="1000"/>
    <s v="60+"/>
    <x v="13"/>
    <n v="2023"/>
    <s v="T1-2023"/>
  </r>
  <r>
    <n v="987"/>
    <d v="2023-04-29T00:00:00"/>
    <x v="986"/>
    <x v="1"/>
    <x v="4"/>
    <x v="1"/>
    <n v="3"/>
    <n v="300"/>
    <n v="900"/>
    <s v="60+"/>
    <x v="16"/>
    <n v="2023"/>
    <s v="T2-2023"/>
  </r>
  <r>
    <n v="988"/>
    <d v="2023-05-28T00:00:00"/>
    <x v="987"/>
    <x v="1"/>
    <x v="7"/>
    <x v="1"/>
    <n v="3"/>
    <n v="25"/>
    <n v="75"/>
    <s v="60+"/>
    <x v="3"/>
    <n v="2023"/>
    <s v="T2-2023"/>
  </r>
  <r>
    <n v="989"/>
    <d v="2023-12-28T00:00:00"/>
    <x v="988"/>
    <x v="1"/>
    <x v="24"/>
    <x v="2"/>
    <n v="1"/>
    <n v="25"/>
    <n v="25"/>
    <s v="60+"/>
    <x v="81"/>
    <n v="2023"/>
    <s v="T4-2023"/>
  </r>
  <r>
    <n v="990"/>
    <d v="2023-05-25T00:00:00"/>
    <x v="989"/>
    <x v="1"/>
    <x v="26"/>
    <x v="0"/>
    <n v="2"/>
    <n v="500"/>
    <n v="1000"/>
    <s v="60+"/>
    <x v="61"/>
    <n v="2023"/>
    <s v="T2-2023"/>
  </r>
  <r>
    <n v="991"/>
    <d v="2023-12-26T00:00:00"/>
    <x v="990"/>
    <x v="1"/>
    <x v="0"/>
    <x v="1"/>
    <n v="2"/>
    <n v="50"/>
    <n v="100"/>
    <s v="60+"/>
    <x v="24"/>
    <n v="2023"/>
    <s v="T4-2023"/>
  </r>
  <r>
    <n v="992"/>
    <d v="2023-08-21T00:00:00"/>
    <x v="991"/>
    <x v="1"/>
    <x v="35"/>
    <x v="2"/>
    <n v="2"/>
    <n v="30"/>
    <n v="60"/>
    <s v="60+"/>
    <x v="48"/>
    <n v="2023"/>
    <s v="T3-2023"/>
  </r>
  <r>
    <n v="993"/>
    <d v="2023-02-06T00:00:00"/>
    <x v="992"/>
    <x v="1"/>
    <x v="27"/>
    <x v="2"/>
    <n v="3"/>
    <n v="50"/>
    <n v="150"/>
    <s v="60+"/>
    <x v="1"/>
    <n v="2023"/>
    <s v="T1-2023"/>
  </r>
  <r>
    <n v="994"/>
    <d v="2023-12-18T00:00:00"/>
    <x v="993"/>
    <x v="1"/>
    <x v="25"/>
    <x v="0"/>
    <n v="2"/>
    <n v="500"/>
    <n v="1000"/>
    <s v="60+"/>
    <x v="76"/>
    <n v="2023"/>
    <s v="T4-2023"/>
  </r>
  <r>
    <n v="995"/>
    <d v="2023-04-30T00:00:00"/>
    <x v="994"/>
    <x v="1"/>
    <x v="41"/>
    <x v="1"/>
    <n v="1"/>
    <n v="30"/>
    <n v="30"/>
    <s v="60+"/>
    <x v="17"/>
    <n v="2023"/>
    <s v="T2-2023"/>
  </r>
  <r>
    <n v="996"/>
    <d v="2023-05-16T00:00:00"/>
    <x v="995"/>
    <x v="0"/>
    <x v="17"/>
    <x v="1"/>
    <n v="1"/>
    <n v="50"/>
    <n v="50"/>
    <s v="60+"/>
    <x v="27"/>
    <n v="2023"/>
    <s v="T2-2023"/>
  </r>
  <r>
    <n v="997"/>
    <d v="2023-11-17T00:00:00"/>
    <x v="996"/>
    <x v="0"/>
    <x v="8"/>
    <x v="0"/>
    <n v="3"/>
    <n v="30"/>
    <n v="90"/>
    <s v="60+"/>
    <x v="0"/>
    <n v="2023"/>
    <s v="T4-2023"/>
  </r>
  <r>
    <n v="998"/>
    <d v="2023-10-29T00:00:00"/>
    <x v="997"/>
    <x v="1"/>
    <x v="9"/>
    <x v="0"/>
    <n v="4"/>
    <n v="25"/>
    <n v="100"/>
    <s v="60+"/>
    <x v="21"/>
    <n v="2023"/>
    <s v="T4-2023"/>
  </r>
  <r>
    <n v="999"/>
    <d v="2023-12-05T00:00:00"/>
    <x v="998"/>
    <x v="1"/>
    <x v="32"/>
    <x v="2"/>
    <n v="3"/>
    <n v="50"/>
    <n v="150"/>
    <s v="60+"/>
    <x v="24"/>
    <n v="2023"/>
    <s v="T4-2023"/>
  </r>
  <r>
    <n v="1000"/>
    <d v="2023-04-12T00:00:00"/>
    <x v="999"/>
    <x v="0"/>
    <x v="16"/>
    <x v="2"/>
    <n v="4"/>
    <n v="30"/>
    <n v="120"/>
    <s v="60+"/>
    <x v="22"/>
    <n v="2023"/>
    <s v="T2-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D0E3A-57BC-48C3-B958-B9804B941529}" name="TablaDiná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tegoria" colHeaderCaption="Genero">
  <location ref="K28:L78" firstHeaderRow="1" firstDataRow="1" firstDataCol="1"/>
  <pivotFields count="13">
    <pivotField showAll="0"/>
    <pivotField numFmtId="14" showAll="0"/>
    <pivotField axis="axisRow" showAll="0" measureFilter="1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0">
    <i>
      <x v="14"/>
    </i>
    <i>
      <x v="64"/>
    </i>
    <i>
      <x v="71"/>
    </i>
    <i>
      <x v="73"/>
    </i>
    <i>
      <x v="88"/>
    </i>
    <i>
      <x v="92"/>
    </i>
    <i>
      <x v="109"/>
    </i>
    <i>
      <x v="118"/>
    </i>
    <i>
      <x v="124"/>
    </i>
    <i>
      <x v="139"/>
    </i>
    <i>
      <x v="152"/>
    </i>
    <i>
      <x v="155"/>
    </i>
    <i>
      <x v="157"/>
    </i>
    <i>
      <x v="166"/>
    </i>
    <i>
      <x v="253"/>
    </i>
    <i>
      <x v="257"/>
    </i>
    <i>
      <x v="269"/>
    </i>
    <i>
      <x v="281"/>
    </i>
    <i>
      <x v="342"/>
    </i>
    <i>
      <x v="412"/>
    </i>
    <i>
      <x v="416"/>
    </i>
    <i>
      <x v="420"/>
    </i>
    <i>
      <x v="447"/>
    </i>
    <i>
      <x v="476"/>
    </i>
    <i>
      <x v="480"/>
    </i>
    <i>
      <x v="487"/>
    </i>
    <i>
      <x v="503"/>
    </i>
    <i>
      <x v="547"/>
    </i>
    <i>
      <x v="561"/>
    </i>
    <i>
      <x v="572"/>
    </i>
    <i>
      <x v="577"/>
    </i>
    <i>
      <x v="592"/>
    </i>
    <i>
      <x v="595"/>
    </i>
    <i>
      <x v="626"/>
    </i>
    <i>
      <x v="634"/>
    </i>
    <i>
      <x v="664"/>
    </i>
    <i>
      <x v="700"/>
    </i>
    <i>
      <x v="731"/>
    </i>
    <i>
      <x v="735"/>
    </i>
    <i>
      <x v="742"/>
    </i>
    <i>
      <x v="743"/>
    </i>
    <i>
      <x v="773"/>
    </i>
    <i>
      <x v="789"/>
    </i>
    <i>
      <x v="808"/>
    </i>
    <i>
      <x v="832"/>
    </i>
    <i>
      <x v="875"/>
    </i>
    <i>
      <x v="927"/>
    </i>
    <i>
      <x v="946"/>
    </i>
    <i>
      <x v="970"/>
    </i>
    <i t="grand">
      <x/>
    </i>
  </rowItems>
  <colItems count="1">
    <i/>
  </colItems>
  <dataFields count="1">
    <dataField name="Suma de Total Amount" fld="8" baseField="0" baseItem="0"/>
  </dataFields>
  <formats count="9">
    <format dxfId="66">
      <pivotArea outline="0" collapsedLevelsAreSubtotals="1" fieldPosition="0"/>
    </format>
    <format dxfId="67">
      <pivotArea type="all" dataOnly="0" outline="0" fieldPosition="0"/>
    </format>
    <format dxfId="68">
      <pivotArea outline="0" collapsedLevelsAreSubtotals="1" fieldPosition="0"/>
    </format>
    <format dxfId="69">
      <pivotArea type="origin" dataOnly="0" labelOnly="1" outline="0" fieldPosition="0"/>
    </format>
    <format dxfId="70">
      <pivotArea field="3" type="button" dataOnly="0" labelOnly="1" outline="0"/>
    </format>
    <format dxfId="71">
      <pivotArea type="topRight" dataOnly="0" labelOnly="1" outline="0" fieldPosition="0"/>
    </format>
    <format dxfId="72">
      <pivotArea field="5" type="button" dataOnly="0" labelOnly="1" outline="0"/>
    </format>
    <format dxfId="73">
      <pivotArea dataOnly="0" labelOnly="1" grandRow="1" outline="0" fieldPosition="0"/>
    </format>
    <format dxfId="74">
      <pivotArea dataOnly="0" labelOnly="1" grandCol="1" outline="0" fieldPosition="0"/>
    </format>
  </formats>
  <pivotTableStyleInfo name="PivotStyleLight20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10A05-6BEC-46FE-B606-75E3C45060BC}" name="TablaDiná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Categoria" colHeaderCaption="Genero">
  <location ref="G4:I89" firstHeaderRow="0" firstDataRow="1" firstDataCol="1"/>
  <pivotFields count="13">
    <pivotField dataField="1" showAll="0"/>
    <pivotField numFmtId="14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85">
        <item x="58"/>
        <item x="36"/>
        <item x="40"/>
        <item x="17"/>
        <item x="3"/>
        <item x="59"/>
        <item x="50"/>
        <item x="77"/>
        <item x="68"/>
        <item x="21"/>
        <item x="19"/>
        <item x="30"/>
        <item x="79"/>
        <item x="69"/>
        <item x="29"/>
        <item x="46"/>
        <item x="61"/>
        <item x="34"/>
        <item x="41"/>
        <item x="25"/>
        <item x="72"/>
        <item x="66"/>
        <item x="71"/>
        <item x="81"/>
        <item x="14"/>
        <item x="1"/>
        <item x="6"/>
        <item x="82"/>
        <item x="47"/>
        <item x="38"/>
        <item x="37"/>
        <item x="48"/>
        <item x="67"/>
        <item x="11"/>
        <item x="39"/>
        <item x="76"/>
        <item x="13"/>
        <item x="10"/>
        <item x="32"/>
        <item x="5"/>
        <item x="27"/>
        <item x="80"/>
        <item x="60"/>
        <item x="65"/>
        <item x="83"/>
        <item x="42"/>
        <item x="53"/>
        <item x="24"/>
        <item x="28"/>
        <item x="7"/>
        <item x="54"/>
        <item x="22"/>
        <item x="43"/>
        <item x="75"/>
        <item x="45"/>
        <item x="64"/>
        <item x="63"/>
        <item x="62"/>
        <item x="23"/>
        <item x="8"/>
        <item x="20"/>
        <item x="78"/>
        <item x="49"/>
        <item x="16"/>
        <item x="4"/>
        <item x="31"/>
        <item x="51"/>
        <item x="12"/>
        <item x="18"/>
        <item x="9"/>
        <item x="44"/>
        <item x="52"/>
        <item x="2"/>
        <item x="15"/>
        <item x="73"/>
        <item x="33"/>
        <item x="55"/>
        <item x="57"/>
        <item x="35"/>
        <item x="26"/>
        <item x="74"/>
        <item x="56"/>
        <item x="0"/>
        <item x="70"/>
        <item t="default"/>
      </items>
    </pivotField>
    <pivotField showAll="0"/>
    <pivotField showAll="0"/>
  </pivotFields>
  <rowFields count="1">
    <field x="10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 Amount" fld="8" baseField="0" baseItem="0"/>
    <dataField name="Cuenta de Transaction ID" fld="0" subtotal="count" baseField="10" baseItem="0"/>
  </dataFields>
  <formats count="9">
    <format dxfId="142">
      <pivotArea outline="0" collapsedLevelsAreSubtotals="1" fieldPosition="0"/>
    </format>
    <format dxfId="143">
      <pivotArea type="all" dataOnly="0" outline="0" fieldPosition="0"/>
    </format>
    <format dxfId="144">
      <pivotArea outline="0" collapsedLevelsAreSubtotals="1" fieldPosition="0"/>
    </format>
    <format dxfId="145">
      <pivotArea type="origin" dataOnly="0" labelOnly="1" outline="0" fieldPosition="0"/>
    </format>
    <format dxfId="146">
      <pivotArea field="3" type="button" dataOnly="0" labelOnly="1" outline="0"/>
    </format>
    <format dxfId="147">
      <pivotArea type="topRight" dataOnly="0" labelOnly="1" outline="0" fieldPosition="0"/>
    </format>
    <format dxfId="148">
      <pivotArea field="5" type="button" dataOnly="0" labelOnly="1" outline="0"/>
    </format>
    <format dxfId="149">
      <pivotArea dataOnly="0" labelOnly="1" grandRow="1" outline="0" fieldPosition="0"/>
    </format>
    <format dxfId="150">
      <pivotArea dataOnly="0" labelOnly="1" grandCol="1" outline="0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B2113-B922-43E2-8015-9CA872DA51F9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tegoria" colHeaderCaption="Genero">
  <location ref="B13:E61" firstHeaderRow="0" firstDataRow="1" firstDataCol="1"/>
  <pivotFields count="13">
    <pivotField dataField="1" showAll="0"/>
    <pivotField numFmtId="14" showAll="0"/>
    <pivotField showAll="0"/>
    <pivotField showAll="0">
      <items count="3">
        <item x="1"/>
        <item x="0"/>
        <item t="default"/>
      </items>
    </pivotField>
    <pivotField axis="axisRow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otal Amount" fld="8" baseField="0" baseItem="0"/>
    <dataField name="Promedio de Total Amount2" fld="8" subtotal="average" baseField="4" baseItem="0"/>
    <dataField name="Cuenta de Transaction ID" fld="0" subtotal="count" baseField="4" baseItem="0" numFmtId="1"/>
  </dataFields>
  <formats count="8">
    <format dxfId="187">
      <pivotArea outline="0" collapsedLevelsAreSubtotals="1" fieldPosition="0"/>
    </format>
    <format dxfId="16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4" type="button" dataOnly="0" labelOnly="1" outline="0" axis="axisRow" fieldPosition="0"/>
    </format>
    <format dxfId="163">
      <pivotArea dataOnly="0" labelOnly="1" fieldPosition="0">
        <references count="1">
          <reference field="4" count="0"/>
        </references>
      </pivotArea>
    </format>
    <format dxfId="162">
      <pivotArea dataOnly="0" labelOnly="1" grandRow="1" outline="0" fieldPosition="0"/>
    </format>
    <format dxfId="1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10B1C-84F6-4B5B-8E86-01D394D603C5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tegoria" colHeaderCaption="Genero">
  <location ref="B4:E9" firstHeaderRow="1" firstDataRow="2" firstDataCol="1"/>
  <pivotFields count="13">
    <pivotField showAll="0"/>
    <pivotField numFmtId="14"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ategoria/Genero" fld="8" baseField="0" baseItem="0" numFmtId="172"/>
  </dataFields>
  <formats count="11">
    <format dxfId="190">
      <pivotArea outline="0" collapsedLevelsAreSubtotals="1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type="origin" dataOnly="0" labelOnly="1" outline="0" fieldPosition="0"/>
    </format>
    <format dxfId="157">
      <pivotArea field="3" type="button" dataOnly="0" labelOnly="1" outline="0" axis="axisCol" fieldPosition="0"/>
    </format>
    <format dxfId="156">
      <pivotArea type="topRight" dataOnly="0" labelOnly="1" outline="0" fieldPosition="0"/>
    </format>
    <format dxfId="155">
      <pivotArea field="5" type="button" dataOnly="0" labelOnly="1" outline="0" axis="axisRow" fieldPosition="0"/>
    </format>
    <format dxfId="154">
      <pivotArea dataOnly="0" labelOnly="1" fieldPosition="0">
        <references count="1">
          <reference field="5" count="0"/>
        </references>
      </pivotArea>
    </format>
    <format dxfId="153">
      <pivotArea dataOnly="0" labelOnly="1" grandRow="1" outline="0" fieldPosition="0"/>
    </format>
    <format dxfId="152">
      <pivotArea dataOnly="0" labelOnly="1" fieldPosition="0">
        <references count="1">
          <reference field="3" count="0"/>
        </references>
      </pivotArea>
    </format>
    <format dxfId="151">
      <pivotArea dataOnly="0" labelOnly="1" grandCol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6A5DC6F-84EB-480E-8D26-730980A13069}" autoFormatId="16" applyNumberFormats="0" applyBorderFormats="0" applyFontFormats="0" applyPatternFormats="0" applyAlignmentFormats="0" applyWidthHeightFormats="0">
  <queryTableRefresh nextId="14" unboundColumnsRight="4">
    <queryTableFields count="13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D5406-4786-4529-BB4A-7AEF0A991E58}" name="retail_sales_dataset" displayName="retail_sales_dataset" ref="A1:M1001" tableType="queryTable" totalsRowShown="0">
  <autoFilter ref="A1:M1001" xr:uid="{231D5406-4786-4529-BB4A-7AEF0A991E58}"/>
  <tableColumns count="13">
    <tableColumn id="1" xr3:uid="{729E14DD-BA41-4A0B-9E60-37906A747199}" uniqueName="1" name="Transaction ID" queryTableFieldId="1"/>
    <tableColumn id="2" xr3:uid="{AEA88616-B531-45ED-A05D-3DFB7AF972DD}" uniqueName="2" name="Date" queryTableFieldId="2" dataDxfId="204"/>
    <tableColumn id="3" xr3:uid="{5B292B5F-FC4C-49F9-AAE8-179524FE658B}" uniqueName="3" name="Customer ID" queryTableFieldId="3" dataDxfId="203"/>
    <tableColumn id="4" xr3:uid="{5E4F4122-DAAA-4957-9275-4B70AFF47CF4}" uniqueName="4" name="Gender" queryTableFieldId="4" dataDxfId="202"/>
    <tableColumn id="5" xr3:uid="{08721343-F1F3-405D-AE8B-53ABCED2FF3E}" uniqueName="5" name="Age" queryTableFieldId="5"/>
    <tableColumn id="6" xr3:uid="{A4215338-E405-4AE0-B45B-47F440A59BF4}" uniqueName="6" name="Product Category" queryTableFieldId="6" dataDxfId="201"/>
    <tableColumn id="7" xr3:uid="{56EC3D89-98EA-4E88-A360-82491C987ED5}" uniqueName="7" name="Quantity" queryTableFieldId="7"/>
    <tableColumn id="8" xr3:uid="{B021FAF4-CC69-47C4-B091-632BA93CC113}" uniqueName="8" name="Price per Unit" queryTableFieldId="8"/>
    <tableColumn id="9" xr3:uid="{E6F02620-9E61-4074-BE25-435A0462B787}" uniqueName="9" name="Total Amount" queryTableFieldId="9"/>
    <tableColumn id="10" xr3:uid="{DDFA35C5-0B92-44E9-A4BD-0D284DEF7FFB}" uniqueName="10" name="Age_Group" queryTableFieldId="10" dataDxfId="200">
      <calculatedColumnFormula>IF(D2&lt;30,"18-29",IF(D2&lt;45,"30-44",IF(D2&lt;60,"45-59","60+")))</calculatedColumnFormula>
    </tableColumn>
    <tableColumn id="11" xr3:uid="{7E2D001A-91B6-48DD-89C4-18AB697EB01B}" uniqueName="11" name="Month" queryTableFieldId="11" dataDxfId="199">
      <calculatedColumnFormula>TEXT(B2,"AAAA-MM")</calculatedColumnFormula>
    </tableColumn>
    <tableColumn id="12" xr3:uid="{ADBDD557-3ADD-4654-BCF4-7EC7AE845AAC}" uniqueName="12" name="Year" queryTableFieldId="12" dataDxfId="198">
      <calculatedColumnFormula>YEAR(B2)</calculatedColumnFormula>
    </tableColumn>
    <tableColumn id="13" xr3:uid="{20A7BE7A-289A-4CDC-9622-A10E12D707FD}" uniqueName="13" name="Quarter" queryTableFieldId="13" dataDxfId="197">
      <calculatedColumnFormula>"T"&amp;INT((MONTH(B2)-1)/3+1)&amp;"-"&amp;YEAR(B2)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451F-8DBA-4208-9E77-F1BDA563309A}">
  <dimension ref="A1:M1004"/>
  <sheetViews>
    <sheetView workbookViewId="0">
      <pane ySplit="1" topLeftCell="A993" activePane="bottomLeft" state="frozen"/>
      <selection pane="bottomLeft" activeCell="I1" sqref="I1"/>
    </sheetView>
  </sheetViews>
  <sheetFormatPr baseColWidth="10" defaultRowHeight="15" x14ac:dyDescent="0.25"/>
  <cols>
    <col min="1" max="1" width="16.140625" bestFit="1" customWidth="1"/>
    <col min="2" max="2" width="10.42578125" bestFit="1" customWidth="1"/>
    <col min="3" max="3" width="14.7109375" bestFit="1" customWidth="1"/>
    <col min="4" max="4" width="10" bestFit="1" customWidth="1"/>
    <col min="5" max="5" width="6.5703125" bestFit="1" customWidth="1"/>
    <col min="6" max="6" width="19" bestFit="1" customWidth="1"/>
    <col min="7" max="7" width="11" bestFit="1" customWidth="1"/>
    <col min="8" max="8" width="15.42578125" bestFit="1" customWidth="1"/>
    <col min="9" max="9" width="15.140625" bestFit="1" customWidth="1"/>
    <col min="13" max="13" width="1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1017</v>
      </c>
      <c r="K1" t="s">
        <v>1018</v>
      </c>
      <c r="L1" t="s">
        <v>1019</v>
      </c>
      <c r="M1" t="s">
        <v>1020</v>
      </c>
    </row>
    <row r="2" spans="1:13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 t="str">
        <f t="shared" ref="J2:J65" si="0">IF(D2&lt;30,"18-29",IF(D2&lt;45,"30-44",IF(D2&lt;60,"45-59","60+")))</f>
        <v>60+</v>
      </c>
      <c r="K2" t="str">
        <f t="shared" ref="K2:K65" si="1">TEXT(B2,"AAAA-MM")</f>
        <v>viernes-11</v>
      </c>
      <c r="L2">
        <f t="shared" ref="L2:L65" si="2">YEAR(B2)</f>
        <v>2023</v>
      </c>
      <c r="M2" s="2" t="str">
        <f t="shared" ref="M2:M65" si="3">"T"&amp;INT((MONTH(B2)-1)/3+1)&amp;"-"&amp;YEAR(B2)</f>
        <v>T4-2023</v>
      </c>
    </row>
    <row r="3" spans="1:13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 t="str">
        <f t="shared" si="0"/>
        <v>60+</v>
      </c>
      <c r="K3" t="str">
        <f t="shared" si="1"/>
        <v>lunes-02</v>
      </c>
      <c r="L3">
        <f t="shared" si="2"/>
        <v>2023</v>
      </c>
      <c r="M3" s="2" t="str">
        <f t="shared" si="3"/>
        <v>T1-2023</v>
      </c>
    </row>
    <row r="4" spans="1:13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 t="str">
        <f t="shared" si="0"/>
        <v>60+</v>
      </c>
      <c r="K4" t="str">
        <f t="shared" si="1"/>
        <v>viernes-01</v>
      </c>
      <c r="L4">
        <f t="shared" si="2"/>
        <v>2023</v>
      </c>
      <c r="M4" s="2" t="str">
        <f t="shared" si="3"/>
        <v>T1-2023</v>
      </c>
    </row>
    <row r="5" spans="1:13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 t="str">
        <f t="shared" si="0"/>
        <v>60+</v>
      </c>
      <c r="K5" t="str">
        <f t="shared" si="1"/>
        <v>domingo-05</v>
      </c>
      <c r="L5">
        <f t="shared" si="2"/>
        <v>2023</v>
      </c>
      <c r="M5" s="2" t="str">
        <f t="shared" si="3"/>
        <v>T2-2023</v>
      </c>
    </row>
    <row r="6" spans="1:13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 t="str">
        <f t="shared" si="0"/>
        <v>60+</v>
      </c>
      <c r="K6" t="str">
        <f t="shared" si="1"/>
        <v>sábado-05</v>
      </c>
      <c r="L6">
        <f t="shared" si="2"/>
        <v>2023</v>
      </c>
      <c r="M6" s="2" t="str">
        <f t="shared" si="3"/>
        <v>T2-2023</v>
      </c>
    </row>
    <row r="7" spans="1:13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 t="str">
        <f t="shared" si="0"/>
        <v>60+</v>
      </c>
      <c r="K7" t="str">
        <f t="shared" si="1"/>
        <v>martes-04</v>
      </c>
      <c r="L7">
        <f t="shared" si="2"/>
        <v>2023</v>
      </c>
      <c r="M7" s="2" t="str">
        <f t="shared" si="3"/>
        <v>T2-2023</v>
      </c>
    </row>
    <row r="8" spans="1:13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 t="str">
        <f t="shared" si="0"/>
        <v>60+</v>
      </c>
      <c r="K8" t="str">
        <f t="shared" si="1"/>
        <v>lunes-03</v>
      </c>
      <c r="L8">
        <f t="shared" si="2"/>
        <v>2023</v>
      </c>
      <c r="M8" s="2" t="str">
        <f t="shared" si="3"/>
        <v>T1-2023</v>
      </c>
    </row>
    <row r="9" spans="1:13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 t="str">
        <f t="shared" si="0"/>
        <v>60+</v>
      </c>
      <c r="K9" t="str">
        <f t="shared" si="1"/>
        <v>miércoles-02</v>
      </c>
      <c r="L9">
        <f t="shared" si="2"/>
        <v>2023</v>
      </c>
      <c r="M9" s="2" t="str">
        <f t="shared" si="3"/>
        <v>T1-2023</v>
      </c>
    </row>
    <row r="10" spans="1:13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 t="str">
        <f t="shared" si="0"/>
        <v>60+</v>
      </c>
      <c r="K10" t="str">
        <f t="shared" si="1"/>
        <v>miércoles-12</v>
      </c>
      <c r="L10">
        <f t="shared" si="2"/>
        <v>2023</v>
      </c>
      <c r="M10" s="2" t="str">
        <f t="shared" si="3"/>
        <v>T4-2023</v>
      </c>
    </row>
    <row r="11" spans="1:13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 t="str">
        <f t="shared" si="0"/>
        <v>60+</v>
      </c>
      <c r="K11" t="str">
        <f t="shared" si="1"/>
        <v>sábado-10</v>
      </c>
      <c r="L11">
        <f t="shared" si="2"/>
        <v>2023</v>
      </c>
      <c r="M11" s="2" t="str">
        <f t="shared" si="3"/>
        <v>T4-2023</v>
      </c>
    </row>
    <row r="12" spans="1:13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 t="str">
        <f t="shared" si="0"/>
        <v>60+</v>
      </c>
      <c r="K12" t="str">
        <f t="shared" si="1"/>
        <v>martes-02</v>
      </c>
      <c r="L12">
        <f t="shared" si="2"/>
        <v>2023</v>
      </c>
      <c r="M12" s="2" t="str">
        <f t="shared" si="3"/>
        <v>T1-2023</v>
      </c>
    </row>
    <row r="13" spans="1:13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 t="str">
        <f t="shared" si="0"/>
        <v>60+</v>
      </c>
      <c r="K13" t="str">
        <f t="shared" si="1"/>
        <v>lunes-10</v>
      </c>
      <c r="L13">
        <f t="shared" si="2"/>
        <v>2023</v>
      </c>
      <c r="M13" s="2" t="str">
        <f t="shared" si="3"/>
        <v>T4-2023</v>
      </c>
    </row>
    <row r="14" spans="1:13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 t="str">
        <f t="shared" si="0"/>
        <v>60+</v>
      </c>
      <c r="K14" t="str">
        <f t="shared" si="1"/>
        <v>sábado-08</v>
      </c>
      <c r="L14">
        <f t="shared" si="2"/>
        <v>2023</v>
      </c>
      <c r="M14" s="2" t="str">
        <f t="shared" si="3"/>
        <v>T3-2023</v>
      </c>
    </row>
    <row r="15" spans="1:13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 t="str">
        <f t="shared" si="0"/>
        <v>60+</v>
      </c>
      <c r="K15" t="str">
        <f t="shared" si="1"/>
        <v>martes-01</v>
      </c>
      <c r="L15">
        <f t="shared" si="2"/>
        <v>2023</v>
      </c>
      <c r="M15" s="2" t="str">
        <f t="shared" si="3"/>
        <v>T1-2023</v>
      </c>
    </row>
    <row r="16" spans="1:13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 t="str">
        <f t="shared" si="0"/>
        <v>60+</v>
      </c>
      <c r="K16" t="str">
        <f t="shared" si="1"/>
        <v>lunes-01</v>
      </c>
      <c r="L16">
        <f t="shared" si="2"/>
        <v>2023</v>
      </c>
      <c r="M16" s="2" t="str">
        <f t="shared" si="3"/>
        <v>T1-2023</v>
      </c>
    </row>
    <row r="17" spans="1:13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 t="str">
        <f t="shared" si="0"/>
        <v>60+</v>
      </c>
      <c r="K17" t="str">
        <f t="shared" si="1"/>
        <v>viernes-02</v>
      </c>
      <c r="L17">
        <f t="shared" si="2"/>
        <v>2023</v>
      </c>
      <c r="M17" s="2" t="str">
        <f t="shared" si="3"/>
        <v>T1-2023</v>
      </c>
    </row>
    <row r="18" spans="1:13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 t="str">
        <f t="shared" si="0"/>
        <v>60+</v>
      </c>
      <c r="K18" t="str">
        <f t="shared" si="1"/>
        <v>sábado-04</v>
      </c>
      <c r="L18">
        <f t="shared" si="2"/>
        <v>2023</v>
      </c>
      <c r="M18" s="2" t="str">
        <f t="shared" si="3"/>
        <v>T2-2023</v>
      </c>
    </row>
    <row r="19" spans="1:13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 t="str">
        <f t="shared" si="0"/>
        <v>60+</v>
      </c>
      <c r="K19" t="str">
        <f t="shared" si="1"/>
        <v>domingo-04</v>
      </c>
      <c r="L19">
        <f t="shared" si="2"/>
        <v>2023</v>
      </c>
      <c r="M19" s="2" t="str">
        <f t="shared" si="3"/>
        <v>T2-2023</v>
      </c>
    </row>
    <row r="20" spans="1:13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 t="str">
        <f t="shared" si="0"/>
        <v>60+</v>
      </c>
      <c r="K20" t="str">
        <f t="shared" si="1"/>
        <v>sábado-09</v>
      </c>
      <c r="L20">
        <f t="shared" si="2"/>
        <v>2023</v>
      </c>
      <c r="M20" s="2" t="str">
        <f t="shared" si="3"/>
        <v>T3-2023</v>
      </c>
    </row>
    <row r="21" spans="1:13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 t="str">
        <f t="shared" si="0"/>
        <v>60+</v>
      </c>
      <c r="K21" t="str">
        <f t="shared" si="1"/>
        <v>domingo-11</v>
      </c>
      <c r="L21">
        <f t="shared" si="2"/>
        <v>2023</v>
      </c>
      <c r="M21" s="2" t="str">
        <f t="shared" si="3"/>
        <v>T4-2023</v>
      </c>
    </row>
    <row r="22" spans="1:13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 t="str">
        <f t="shared" si="0"/>
        <v>60+</v>
      </c>
      <c r="K22" t="str">
        <f t="shared" si="1"/>
        <v>sábado-01</v>
      </c>
      <c r="L22">
        <f t="shared" si="2"/>
        <v>2023</v>
      </c>
      <c r="M22" s="2" t="str">
        <f t="shared" si="3"/>
        <v>T1-2023</v>
      </c>
    </row>
    <row r="23" spans="1:13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 t="str">
        <f t="shared" si="0"/>
        <v>60+</v>
      </c>
      <c r="K23" t="str">
        <f t="shared" si="1"/>
        <v>domingo-10</v>
      </c>
      <c r="L23">
        <f t="shared" si="2"/>
        <v>2023</v>
      </c>
      <c r="M23" s="2" t="str">
        <f t="shared" si="3"/>
        <v>T4-2023</v>
      </c>
    </row>
    <row r="24" spans="1:13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 t="str">
        <f t="shared" si="0"/>
        <v>60+</v>
      </c>
      <c r="K24" t="str">
        <f t="shared" si="1"/>
        <v>miércoles-04</v>
      </c>
      <c r="L24">
        <f t="shared" si="2"/>
        <v>2023</v>
      </c>
      <c r="M24" s="2" t="str">
        <f t="shared" si="3"/>
        <v>T2-2023</v>
      </c>
    </row>
    <row r="25" spans="1:13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 t="str">
        <f t="shared" si="0"/>
        <v>60+</v>
      </c>
      <c r="K25" t="str">
        <f t="shared" si="1"/>
        <v>miércoles-11</v>
      </c>
      <c r="L25">
        <f t="shared" si="2"/>
        <v>2023</v>
      </c>
      <c r="M25" s="2" t="str">
        <f t="shared" si="3"/>
        <v>T4-2023</v>
      </c>
    </row>
    <row r="26" spans="1:13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 t="str">
        <f t="shared" si="0"/>
        <v>60+</v>
      </c>
      <c r="K26" t="str">
        <f t="shared" si="1"/>
        <v>martes-12</v>
      </c>
      <c r="L26">
        <f t="shared" si="2"/>
        <v>2023</v>
      </c>
      <c r="M26" s="2" t="str">
        <f t="shared" si="3"/>
        <v>T4-2023</v>
      </c>
    </row>
    <row r="27" spans="1:13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 t="str">
        <f t="shared" si="0"/>
        <v>60+</v>
      </c>
      <c r="K27" t="str">
        <f t="shared" si="1"/>
        <v>sábado-10</v>
      </c>
      <c r="L27">
        <f t="shared" si="2"/>
        <v>2023</v>
      </c>
      <c r="M27" s="2" t="str">
        <f t="shared" si="3"/>
        <v>T4-2023</v>
      </c>
    </row>
    <row r="28" spans="1:13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 t="str">
        <f t="shared" si="0"/>
        <v>60+</v>
      </c>
      <c r="K28" t="str">
        <f t="shared" si="1"/>
        <v>jueves-08</v>
      </c>
      <c r="L28">
        <f t="shared" si="2"/>
        <v>2023</v>
      </c>
      <c r="M28" s="2" t="str">
        <f t="shared" si="3"/>
        <v>T3-2023</v>
      </c>
    </row>
    <row r="29" spans="1:13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 t="str">
        <f t="shared" si="0"/>
        <v>60+</v>
      </c>
      <c r="K29" t="str">
        <f t="shared" si="1"/>
        <v>domingo-04</v>
      </c>
      <c r="L29">
        <f t="shared" si="2"/>
        <v>2023</v>
      </c>
      <c r="M29" s="2" t="str">
        <f t="shared" si="3"/>
        <v>T2-2023</v>
      </c>
    </row>
    <row r="30" spans="1:13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 t="str">
        <f t="shared" si="0"/>
        <v>60+</v>
      </c>
      <c r="K30" t="str">
        <f t="shared" si="1"/>
        <v>viernes-08</v>
      </c>
      <c r="L30">
        <f t="shared" si="2"/>
        <v>2023</v>
      </c>
      <c r="M30" s="2" t="str">
        <f t="shared" si="3"/>
        <v>T3-2023</v>
      </c>
    </row>
    <row r="31" spans="1:13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 t="str">
        <f t="shared" si="0"/>
        <v>60+</v>
      </c>
      <c r="K31" t="str">
        <f t="shared" si="1"/>
        <v>domingo-10</v>
      </c>
      <c r="L31">
        <f t="shared" si="2"/>
        <v>2023</v>
      </c>
      <c r="M31" s="2" t="str">
        <f t="shared" si="3"/>
        <v>T4-2023</v>
      </c>
    </row>
    <row r="32" spans="1:13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 t="str">
        <f t="shared" si="0"/>
        <v>60+</v>
      </c>
      <c r="K32" t="str">
        <f t="shared" si="1"/>
        <v>martes-05</v>
      </c>
      <c r="L32">
        <f t="shared" si="2"/>
        <v>2023</v>
      </c>
      <c r="M32" s="2" t="str">
        <f t="shared" si="3"/>
        <v>T2-2023</v>
      </c>
    </row>
    <row r="33" spans="1:13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 t="str">
        <f t="shared" si="0"/>
        <v>60+</v>
      </c>
      <c r="K33" t="str">
        <f t="shared" si="1"/>
        <v>miércoles-01</v>
      </c>
      <c r="L33">
        <f t="shared" si="2"/>
        <v>2023</v>
      </c>
      <c r="M33" s="2" t="str">
        <f t="shared" si="3"/>
        <v>T1-2023</v>
      </c>
    </row>
    <row r="34" spans="1:13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 t="str">
        <f t="shared" si="0"/>
        <v>60+</v>
      </c>
      <c r="K34" t="str">
        <f t="shared" si="1"/>
        <v>jueves-03</v>
      </c>
      <c r="L34">
        <f t="shared" si="2"/>
        <v>2023</v>
      </c>
      <c r="M34" s="2" t="str">
        <f t="shared" si="3"/>
        <v>T1-2023</v>
      </c>
    </row>
    <row r="35" spans="1:13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 t="str">
        <f t="shared" si="0"/>
        <v>60+</v>
      </c>
      <c r="K35" t="str">
        <f t="shared" si="1"/>
        <v>domingo-12</v>
      </c>
      <c r="L35">
        <f t="shared" si="2"/>
        <v>2023</v>
      </c>
      <c r="M35" s="2" t="str">
        <f t="shared" si="3"/>
        <v>T4-2023</v>
      </c>
    </row>
    <row r="36" spans="1:13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 t="str">
        <f t="shared" si="0"/>
        <v>60+</v>
      </c>
      <c r="K36" t="str">
        <f t="shared" si="1"/>
        <v>sábado-08</v>
      </c>
      <c r="L36">
        <f t="shared" si="2"/>
        <v>2023</v>
      </c>
      <c r="M36" s="2" t="str">
        <f t="shared" si="3"/>
        <v>T3-2023</v>
      </c>
    </row>
    <row r="37" spans="1:13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 t="str">
        <f t="shared" si="0"/>
        <v>60+</v>
      </c>
      <c r="K37" t="str">
        <f t="shared" si="1"/>
        <v>sábado-06</v>
      </c>
      <c r="L37">
        <f t="shared" si="2"/>
        <v>2023</v>
      </c>
      <c r="M37" s="2" t="str">
        <f t="shared" si="3"/>
        <v>T2-2023</v>
      </c>
    </row>
    <row r="38" spans="1:13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 t="str">
        <f t="shared" si="0"/>
        <v>60+</v>
      </c>
      <c r="K38" t="str">
        <f t="shared" si="1"/>
        <v>martes-05</v>
      </c>
      <c r="L38">
        <f t="shared" si="2"/>
        <v>2023</v>
      </c>
      <c r="M38" s="2" t="str">
        <f t="shared" si="3"/>
        <v>T2-2023</v>
      </c>
    </row>
    <row r="39" spans="1:13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 t="str">
        <f t="shared" si="0"/>
        <v>60+</v>
      </c>
      <c r="K39" t="str">
        <f t="shared" si="1"/>
        <v>martes-03</v>
      </c>
      <c r="L39">
        <f t="shared" si="2"/>
        <v>2023</v>
      </c>
      <c r="M39" s="2" t="str">
        <f t="shared" si="3"/>
        <v>T1-2023</v>
      </c>
    </row>
    <row r="40" spans="1:13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 t="str">
        <f t="shared" si="0"/>
        <v>60+</v>
      </c>
      <c r="K40" t="str">
        <f t="shared" si="1"/>
        <v>viernes-04</v>
      </c>
      <c r="L40">
        <f t="shared" si="2"/>
        <v>2023</v>
      </c>
      <c r="M40" s="2" t="str">
        <f t="shared" si="3"/>
        <v>T2-2023</v>
      </c>
    </row>
    <row r="41" spans="1:13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 t="str">
        <f t="shared" si="0"/>
        <v>60+</v>
      </c>
      <c r="K41" t="str">
        <f t="shared" si="1"/>
        <v>jueves-06</v>
      </c>
      <c r="L41">
        <f t="shared" si="2"/>
        <v>2023</v>
      </c>
      <c r="M41" s="2" t="str">
        <f t="shared" si="3"/>
        <v>T2-2023</v>
      </c>
    </row>
    <row r="42" spans="1:13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 t="str">
        <f t="shared" si="0"/>
        <v>60+</v>
      </c>
      <c r="K42" t="str">
        <f t="shared" si="1"/>
        <v>miércoles-02</v>
      </c>
      <c r="L42">
        <f t="shared" si="2"/>
        <v>2023</v>
      </c>
      <c r="M42" s="2" t="str">
        <f t="shared" si="3"/>
        <v>T1-2023</v>
      </c>
    </row>
    <row r="43" spans="1:13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 t="str">
        <f t="shared" si="0"/>
        <v>60+</v>
      </c>
      <c r="K43" t="str">
        <f t="shared" si="1"/>
        <v>viernes-02</v>
      </c>
      <c r="L43">
        <f t="shared" si="2"/>
        <v>2023</v>
      </c>
      <c r="M43" s="2" t="str">
        <f t="shared" si="3"/>
        <v>T1-2023</v>
      </c>
    </row>
    <row r="44" spans="1:13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 t="str">
        <f t="shared" si="0"/>
        <v>60+</v>
      </c>
      <c r="K44" t="str">
        <f t="shared" si="1"/>
        <v>viernes-07</v>
      </c>
      <c r="L44">
        <f t="shared" si="2"/>
        <v>2023</v>
      </c>
      <c r="M44" s="2" t="str">
        <f t="shared" si="3"/>
        <v>T3-2023</v>
      </c>
    </row>
    <row r="45" spans="1:13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 t="str">
        <f t="shared" si="0"/>
        <v>60+</v>
      </c>
      <c r="K45" t="str">
        <f t="shared" si="1"/>
        <v>domingo-02</v>
      </c>
      <c r="L45">
        <f t="shared" si="2"/>
        <v>2023</v>
      </c>
      <c r="M45" s="2" t="str">
        <f t="shared" si="3"/>
        <v>T1-2023</v>
      </c>
    </row>
    <row r="46" spans="1:13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 t="str">
        <f t="shared" si="0"/>
        <v>60+</v>
      </c>
      <c r="K46" t="str">
        <f t="shared" si="1"/>
        <v>lunes-07</v>
      </c>
      <c r="L46">
        <f t="shared" si="2"/>
        <v>2023</v>
      </c>
      <c r="M46" s="2" t="str">
        <f t="shared" si="3"/>
        <v>T3-2023</v>
      </c>
    </row>
    <row r="47" spans="1:13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 t="str">
        <f t="shared" si="0"/>
        <v>60+</v>
      </c>
      <c r="K47" t="str">
        <f t="shared" si="1"/>
        <v>lunes-06</v>
      </c>
      <c r="L47">
        <f t="shared" si="2"/>
        <v>2023</v>
      </c>
      <c r="M47" s="2" t="str">
        <f t="shared" si="3"/>
        <v>T2-2023</v>
      </c>
    </row>
    <row r="48" spans="1:13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 t="str">
        <f t="shared" si="0"/>
        <v>60+</v>
      </c>
      <c r="K48" t="str">
        <f t="shared" si="1"/>
        <v>lunes-11</v>
      </c>
      <c r="L48">
        <f t="shared" si="2"/>
        <v>2023</v>
      </c>
      <c r="M48" s="2" t="str">
        <f t="shared" si="3"/>
        <v>T4-2023</v>
      </c>
    </row>
    <row r="49" spans="1:13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 t="str">
        <f t="shared" si="0"/>
        <v>60+</v>
      </c>
      <c r="K49" t="str">
        <f t="shared" si="1"/>
        <v>martes-05</v>
      </c>
      <c r="L49">
        <f t="shared" si="2"/>
        <v>2023</v>
      </c>
      <c r="M49" s="2" t="str">
        <f t="shared" si="3"/>
        <v>T2-2023</v>
      </c>
    </row>
    <row r="50" spans="1:13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 t="str">
        <f t="shared" si="0"/>
        <v>60+</v>
      </c>
      <c r="K50" t="str">
        <f t="shared" si="1"/>
        <v>lunes-01</v>
      </c>
      <c r="L50">
        <f t="shared" si="2"/>
        <v>2023</v>
      </c>
      <c r="M50" s="2" t="str">
        <f t="shared" si="3"/>
        <v>T1-2023</v>
      </c>
    </row>
    <row r="51" spans="1:13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 t="str">
        <f t="shared" si="0"/>
        <v>60+</v>
      </c>
      <c r="K51" t="str">
        <f t="shared" si="1"/>
        <v>jueves-08</v>
      </c>
      <c r="L51">
        <f t="shared" si="2"/>
        <v>2023</v>
      </c>
      <c r="M51" s="2" t="str">
        <f t="shared" si="3"/>
        <v>T3-2023</v>
      </c>
    </row>
    <row r="52" spans="1:13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 t="str">
        <f t="shared" si="0"/>
        <v>60+</v>
      </c>
      <c r="K52" t="str">
        <f t="shared" si="1"/>
        <v>lunes-10</v>
      </c>
      <c r="L52">
        <f t="shared" si="2"/>
        <v>2023</v>
      </c>
      <c r="M52" s="2" t="str">
        <f t="shared" si="3"/>
        <v>T4-2023</v>
      </c>
    </row>
    <row r="53" spans="1:13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 t="str">
        <f t="shared" si="0"/>
        <v>60+</v>
      </c>
      <c r="K53" t="str">
        <f t="shared" si="1"/>
        <v>domingo-03</v>
      </c>
      <c r="L53">
        <f t="shared" si="2"/>
        <v>2023</v>
      </c>
      <c r="M53" s="2" t="str">
        <f t="shared" si="3"/>
        <v>T1-2023</v>
      </c>
    </row>
    <row r="54" spans="1:13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 t="str">
        <f t="shared" si="0"/>
        <v>60+</v>
      </c>
      <c r="K54" t="str">
        <f t="shared" si="1"/>
        <v>jueves-07</v>
      </c>
      <c r="L54">
        <f t="shared" si="2"/>
        <v>2023</v>
      </c>
      <c r="M54" s="2" t="str">
        <f t="shared" si="3"/>
        <v>T3-2023</v>
      </c>
    </row>
    <row r="55" spans="1:13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 t="str">
        <f t="shared" si="0"/>
        <v>60+</v>
      </c>
      <c r="K55" t="str">
        <f t="shared" si="1"/>
        <v>viernes-02</v>
      </c>
      <c r="L55">
        <f t="shared" si="2"/>
        <v>2023</v>
      </c>
      <c r="M55" s="2" t="str">
        <f t="shared" si="3"/>
        <v>T1-2023</v>
      </c>
    </row>
    <row r="56" spans="1:13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 t="str">
        <f t="shared" si="0"/>
        <v>60+</v>
      </c>
      <c r="K56" t="str">
        <f t="shared" si="1"/>
        <v>martes-10</v>
      </c>
      <c r="L56">
        <f t="shared" si="2"/>
        <v>2023</v>
      </c>
      <c r="M56" s="2" t="str">
        <f t="shared" si="3"/>
        <v>T4-2023</v>
      </c>
    </row>
    <row r="57" spans="1:13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 t="str">
        <f t="shared" si="0"/>
        <v>60+</v>
      </c>
      <c r="K57" t="str">
        <f t="shared" si="1"/>
        <v>miércoles-05</v>
      </c>
      <c r="L57">
        <f t="shared" si="2"/>
        <v>2023</v>
      </c>
      <c r="M57" s="2" t="str">
        <f t="shared" si="3"/>
        <v>T2-2023</v>
      </c>
    </row>
    <row r="58" spans="1:13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 t="str">
        <f t="shared" si="0"/>
        <v>60+</v>
      </c>
      <c r="K58" t="str">
        <f t="shared" si="1"/>
        <v>sábado-11</v>
      </c>
      <c r="L58">
        <f t="shared" si="2"/>
        <v>2023</v>
      </c>
      <c r="M58" s="2" t="str">
        <f t="shared" si="3"/>
        <v>T4-2023</v>
      </c>
    </row>
    <row r="59" spans="1:13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 t="str">
        <f t="shared" si="0"/>
        <v>60+</v>
      </c>
      <c r="K59" t="str">
        <f t="shared" si="1"/>
        <v>lunes-11</v>
      </c>
      <c r="L59">
        <f t="shared" si="2"/>
        <v>2023</v>
      </c>
      <c r="M59" s="2" t="str">
        <f t="shared" si="3"/>
        <v>T4-2023</v>
      </c>
    </row>
    <row r="60" spans="1:13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 t="str">
        <f t="shared" si="0"/>
        <v>60+</v>
      </c>
      <c r="K60" t="str">
        <f t="shared" si="1"/>
        <v>miércoles-07</v>
      </c>
      <c r="L60">
        <f t="shared" si="2"/>
        <v>2023</v>
      </c>
      <c r="M60" s="2" t="str">
        <f t="shared" si="3"/>
        <v>T3-2023</v>
      </c>
    </row>
    <row r="61" spans="1:13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 t="str">
        <f t="shared" si="0"/>
        <v>60+</v>
      </c>
      <c r="K61" t="str">
        <f t="shared" si="1"/>
        <v>lunes-10</v>
      </c>
      <c r="L61">
        <f t="shared" si="2"/>
        <v>2023</v>
      </c>
      <c r="M61" s="2" t="str">
        <f t="shared" si="3"/>
        <v>T4-2023</v>
      </c>
    </row>
    <row r="62" spans="1:13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 t="str">
        <f t="shared" si="0"/>
        <v>60+</v>
      </c>
      <c r="K62" t="str">
        <f t="shared" si="1"/>
        <v>domingo-04</v>
      </c>
      <c r="L62">
        <f t="shared" si="2"/>
        <v>2023</v>
      </c>
      <c r="M62" s="2" t="str">
        <f t="shared" si="3"/>
        <v>T2-2023</v>
      </c>
    </row>
    <row r="63" spans="1:13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 t="str">
        <f t="shared" si="0"/>
        <v>60+</v>
      </c>
      <c r="K63" t="str">
        <f t="shared" si="1"/>
        <v>miércoles-12</v>
      </c>
      <c r="L63">
        <f t="shared" si="2"/>
        <v>2023</v>
      </c>
      <c r="M63" s="2" t="str">
        <f t="shared" si="3"/>
        <v>T4-2023</v>
      </c>
    </row>
    <row r="64" spans="1:13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 t="str">
        <f t="shared" si="0"/>
        <v>60+</v>
      </c>
      <c r="K64" t="str">
        <f t="shared" si="1"/>
        <v>domingo-02</v>
      </c>
      <c r="L64">
        <f t="shared" si="2"/>
        <v>2023</v>
      </c>
      <c r="M64" s="2" t="str">
        <f t="shared" si="3"/>
        <v>T1-2023</v>
      </c>
    </row>
    <row r="65" spans="1:13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 t="str">
        <f t="shared" si="0"/>
        <v>60+</v>
      </c>
      <c r="K65" t="str">
        <f t="shared" si="1"/>
        <v>martes-01</v>
      </c>
      <c r="L65">
        <f t="shared" si="2"/>
        <v>2023</v>
      </c>
      <c r="M65" s="2" t="str">
        <f t="shared" si="3"/>
        <v>T1-2023</v>
      </c>
    </row>
    <row r="66" spans="1:13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 t="str">
        <f t="shared" ref="J66:J129" si="4">IF(D66&lt;30,"18-29",IF(D66&lt;45,"30-44",IF(D66&lt;60,"45-59","60+")))</f>
        <v>60+</v>
      </c>
      <c r="K66" t="str">
        <f t="shared" ref="K66:K129" si="5">TEXT(B66,"AAAA-MM")</f>
        <v>martes-12</v>
      </c>
      <c r="L66">
        <f t="shared" ref="L66:L129" si="6">YEAR(B66)</f>
        <v>2023</v>
      </c>
      <c r="M66" s="2" t="str">
        <f t="shared" ref="M66:M129" si="7">"T"&amp;INT((MONTH(B66)-1)/3+1)&amp;"-"&amp;YEAR(B66)</f>
        <v>T4-2023</v>
      </c>
    </row>
    <row r="67" spans="1:13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 t="str">
        <f t="shared" si="4"/>
        <v>60+</v>
      </c>
      <c r="K67" t="str">
        <f t="shared" si="5"/>
        <v>jueves-04</v>
      </c>
      <c r="L67">
        <f t="shared" si="6"/>
        <v>2023</v>
      </c>
      <c r="M67" s="2" t="str">
        <f t="shared" si="7"/>
        <v>T2-2023</v>
      </c>
    </row>
    <row r="68" spans="1:13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 t="str">
        <f t="shared" si="4"/>
        <v>60+</v>
      </c>
      <c r="K68" t="str">
        <f t="shared" si="5"/>
        <v>lunes-05</v>
      </c>
      <c r="L68">
        <f t="shared" si="6"/>
        <v>2023</v>
      </c>
      <c r="M68" s="2" t="str">
        <f t="shared" si="7"/>
        <v>T2-2023</v>
      </c>
    </row>
    <row r="69" spans="1:13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 t="str">
        <f t="shared" si="4"/>
        <v>60+</v>
      </c>
      <c r="K69" t="str">
        <f t="shared" si="5"/>
        <v>viernes-02</v>
      </c>
      <c r="L69">
        <f t="shared" si="6"/>
        <v>2023</v>
      </c>
      <c r="M69" s="2" t="str">
        <f t="shared" si="7"/>
        <v>T1-2023</v>
      </c>
    </row>
    <row r="70" spans="1:13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 t="str">
        <f t="shared" si="4"/>
        <v>60+</v>
      </c>
      <c r="K70" t="str">
        <f t="shared" si="5"/>
        <v>domingo-04</v>
      </c>
      <c r="L70">
        <f t="shared" si="6"/>
        <v>2023</v>
      </c>
      <c r="M70" s="2" t="str">
        <f t="shared" si="7"/>
        <v>T2-2023</v>
      </c>
    </row>
    <row r="71" spans="1:13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 t="str">
        <f t="shared" si="4"/>
        <v>60+</v>
      </c>
      <c r="K71" t="str">
        <f t="shared" si="5"/>
        <v>martes-02</v>
      </c>
      <c r="L71">
        <f t="shared" si="6"/>
        <v>2023</v>
      </c>
      <c r="M71" s="2" t="str">
        <f t="shared" si="7"/>
        <v>T1-2023</v>
      </c>
    </row>
    <row r="72" spans="1:13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 t="str">
        <f t="shared" si="4"/>
        <v>60+</v>
      </c>
      <c r="K72" t="str">
        <f t="shared" si="5"/>
        <v>viernes-07</v>
      </c>
      <c r="L72">
        <f t="shared" si="6"/>
        <v>2023</v>
      </c>
      <c r="M72" s="2" t="str">
        <f t="shared" si="7"/>
        <v>T3-2023</v>
      </c>
    </row>
    <row r="73" spans="1:13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 t="str">
        <f t="shared" si="4"/>
        <v>60+</v>
      </c>
      <c r="K73" t="str">
        <f t="shared" si="5"/>
        <v>martes-05</v>
      </c>
      <c r="L73">
        <f t="shared" si="6"/>
        <v>2023</v>
      </c>
      <c r="M73" s="2" t="str">
        <f t="shared" si="7"/>
        <v>T2-2023</v>
      </c>
    </row>
    <row r="74" spans="1:13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 t="str">
        <f t="shared" si="4"/>
        <v>60+</v>
      </c>
      <c r="K74" t="str">
        <f t="shared" si="5"/>
        <v>lunes-08</v>
      </c>
      <c r="L74">
        <f t="shared" si="6"/>
        <v>2023</v>
      </c>
      <c r="M74" s="2" t="str">
        <f t="shared" si="7"/>
        <v>T3-2023</v>
      </c>
    </row>
    <row r="75" spans="1:13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 t="str">
        <f t="shared" si="4"/>
        <v>60+</v>
      </c>
      <c r="K75" t="str">
        <f t="shared" si="5"/>
        <v>miércoles-11</v>
      </c>
      <c r="L75">
        <f t="shared" si="6"/>
        <v>2023</v>
      </c>
      <c r="M75" s="2" t="str">
        <f t="shared" si="7"/>
        <v>T4-2023</v>
      </c>
    </row>
    <row r="76" spans="1:13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 t="str">
        <f t="shared" si="4"/>
        <v>60+</v>
      </c>
      <c r="K76" t="str">
        <f t="shared" si="5"/>
        <v>jueves-07</v>
      </c>
      <c r="L76">
        <f t="shared" si="6"/>
        <v>2023</v>
      </c>
      <c r="M76" s="2" t="str">
        <f t="shared" si="7"/>
        <v>T3-2023</v>
      </c>
    </row>
    <row r="77" spans="1:13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 t="str">
        <f t="shared" si="4"/>
        <v>60+</v>
      </c>
      <c r="K77" t="str">
        <f t="shared" si="5"/>
        <v>sábado-03</v>
      </c>
      <c r="L77">
        <f t="shared" si="6"/>
        <v>2023</v>
      </c>
      <c r="M77" s="2" t="str">
        <f t="shared" si="7"/>
        <v>T1-2023</v>
      </c>
    </row>
    <row r="78" spans="1:13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 t="str">
        <f t="shared" si="4"/>
        <v>60+</v>
      </c>
      <c r="K78" t="str">
        <f t="shared" si="5"/>
        <v>domingo-07</v>
      </c>
      <c r="L78">
        <f t="shared" si="6"/>
        <v>2023</v>
      </c>
      <c r="M78" s="2" t="str">
        <f t="shared" si="7"/>
        <v>T3-2023</v>
      </c>
    </row>
    <row r="79" spans="1:13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 t="str">
        <f t="shared" si="4"/>
        <v>60+</v>
      </c>
      <c r="K79" t="str">
        <f t="shared" si="5"/>
        <v>sábado-07</v>
      </c>
      <c r="L79">
        <f t="shared" si="6"/>
        <v>2023</v>
      </c>
      <c r="M79" s="2" t="str">
        <f t="shared" si="7"/>
        <v>T3-2023</v>
      </c>
    </row>
    <row r="80" spans="1:13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 t="str">
        <f t="shared" si="4"/>
        <v>60+</v>
      </c>
      <c r="K80" t="str">
        <f t="shared" si="5"/>
        <v>martes-04</v>
      </c>
      <c r="L80">
        <f t="shared" si="6"/>
        <v>2023</v>
      </c>
      <c r="M80" s="2" t="str">
        <f t="shared" si="7"/>
        <v>T2-2023</v>
      </c>
    </row>
    <row r="81" spans="1:13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 t="str">
        <f t="shared" si="4"/>
        <v>60+</v>
      </c>
      <c r="K81" t="str">
        <f t="shared" si="5"/>
        <v>domingo-12</v>
      </c>
      <c r="L81">
        <f t="shared" si="6"/>
        <v>2023</v>
      </c>
      <c r="M81" s="2" t="str">
        <f t="shared" si="7"/>
        <v>T4-2023</v>
      </c>
    </row>
    <row r="82" spans="1:13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 t="str">
        <f t="shared" si="4"/>
        <v>60+</v>
      </c>
      <c r="K82" t="str">
        <f t="shared" si="5"/>
        <v>miércoles-05</v>
      </c>
      <c r="L82">
        <f t="shared" si="6"/>
        <v>2023</v>
      </c>
      <c r="M82" s="2" t="str">
        <f t="shared" si="7"/>
        <v>T2-2023</v>
      </c>
    </row>
    <row r="83" spans="1:13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 t="str">
        <f t="shared" si="4"/>
        <v>60+</v>
      </c>
      <c r="K83" t="str">
        <f t="shared" si="5"/>
        <v>martes-12</v>
      </c>
      <c r="L83">
        <f t="shared" si="6"/>
        <v>2023</v>
      </c>
      <c r="M83" s="2" t="str">
        <f t="shared" si="7"/>
        <v>T4-2023</v>
      </c>
    </row>
    <row r="84" spans="1:13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 t="str">
        <f t="shared" si="4"/>
        <v>60+</v>
      </c>
      <c r="K84" t="str">
        <f t="shared" si="5"/>
        <v>sábado-12</v>
      </c>
      <c r="L84">
        <f t="shared" si="6"/>
        <v>2023</v>
      </c>
      <c r="M84" s="2" t="str">
        <f t="shared" si="7"/>
        <v>T4-2023</v>
      </c>
    </row>
    <row r="85" spans="1:13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 t="str">
        <f t="shared" si="4"/>
        <v>60+</v>
      </c>
      <c r="K85" t="str">
        <f t="shared" si="5"/>
        <v>martes-11</v>
      </c>
      <c r="L85">
        <f t="shared" si="6"/>
        <v>2023</v>
      </c>
      <c r="M85" s="2" t="str">
        <f t="shared" si="7"/>
        <v>T4-2023</v>
      </c>
    </row>
    <row r="86" spans="1:13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 t="str">
        <f t="shared" si="4"/>
        <v>60+</v>
      </c>
      <c r="K86" t="str">
        <f t="shared" si="5"/>
        <v>lunes-02</v>
      </c>
      <c r="L86">
        <f t="shared" si="6"/>
        <v>2023</v>
      </c>
      <c r="M86" s="2" t="str">
        <f t="shared" si="7"/>
        <v>T1-2023</v>
      </c>
    </row>
    <row r="87" spans="1:13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 t="str">
        <f t="shared" si="4"/>
        <v>60+</v>
      </c>
      <c r="K87" t="str">
        <f t="shared" si="5"/>
        <v>miércoles-11</v>
      </c>
      <c r="L87">
        <f t="shared" si="6"/>
        <v>2023</v>
      </c>
      <c r="M87" s="2" t="str">
        <f t="shared" si="7"/>
        <v>T4-2023</v>
      </c>
    </row>
    <row r="88" spans="1:13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 t="str">
        <f t="shared" si="4"/>
        <v>60+</v>
      </c>
      <c r="K88" t="str">
        <f t="shared" si="5"/>
        <v>miércoles-11</v>
      </c>
      <c r="L88">
        <f t="shared" si="6"/>
        <v>2023</v>
      </c>
      <c r="M88" s="2" t="str">
        <f t="shared" si="7"/>
        <v>T4-2023</v>
      </c>
    </row>
    <row r="89" spans="1:13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 t="str">
        <f t="shared" si="4"/>
        <v>60+</v>
      </c>
      <c r="K89" t="str">
        <f t="shared" si="5"/>
        <v>miércoles-03</v>
      </c>
      <c r="L89">
        <f t="shared" si="6"/>
        <v>2023</v>
      </c>
      <c r="M89" s="2" t="str">
        <f t="shared" si="7"/>
        <v>T1-2023</v>
      </c>
    </row>
    <row r="90" spans="1:13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 t="str">
        <f t="shared" si="4"/>
        <v>60+</v>
      </c>
      <c r="K90" t="str">
        <f t="shared" si="5"/>
        <v>domingo-10</v>
      </c>
      <c r="L90">
        <f t="shared" si="6"/>
        <v>2023</v>
      </c>
      <c r="M90" s="2" t="str">
        <f t="shared" si="7"/>
        <v>T4-2023</v>
      </c>
    </row>
    <row r="91" spans="1:13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 t="str">
        <f t="shared" si="4"/>
        <v>60+</v>
      </c>
      <c r="K91" t="str">
        <f t="shared" si="5"/>
        <v>sábado-05</v>
      </c>
      <c r="L91">
        <f t="shared" si="6"/>
        <v>2023</v>
      </c>
      <c r="M91" s="2" t="str">
        <f t="shared" si="7"/>
        <v>T2-2023</v>
      </c>
    </row>
    <row r="92" spans="1:13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 t="str">
        <f t="shared" si="4"/>
        <v>60+</v>
      </c>
      <c r="K92" t="str">
        <f t="shared" si="5"/>
        <v>sábado-03</v>
      </c>
      <c r="L92">
        <f t="shared" si="6"/>
        <v>2023</v>
      </c>
      <c r="M92" s="2" t="str">
        <f t="shared" si="7"/>
        <v>T1-2023</v>
      </c>
    </row>
    <row r="93" spans="1:13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 t="str">
        <f t="shared" si="4"/>
        <v>60+</v>
      </c>
      <c r="K93" t="str">
        <f t="shared" si="5"/>
        <v>viernes-08</v>
      </c>
      <c r="L93">
        <f t="shared" si="6"/>
        <v>2023</v>
      </c>
      <c r="M93" s="2" t="str">
        <f t="shared" si="7"/>
        <v>T3-2023</v>
      </c>
    </row>
    <row r="94" spans="1:13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 t="str">
        <f t="shared" si="4"/>
        <v>60+</v>
      </c>
      <c r="K94" t="str">
        <f t="shared" si="5"/>
        <v>viernes-07</v>
      </c>
      <c r="L94">
        <f t="shared" si="6"/>
        <v>2023</v>
      </c>
      <c r="M94" s="2" t="str">
        <f t="shared" si="7"/>
        <v>T3-2023</v>
      </c>
    </row>
    <row r="95" spans="1:13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 t="str">
        <f t="shared" si="4"/>
        <v>60+</v>
      </c>
      <c r="K95" t="str">
        <f t="shared" si="5"/>
        <v>viernes-05</v>
      </c>
      <c r="L95">
        <f t="shared" si="6"/>
        <v>2023</v>
      </c>
      <c r="M95" s="2" t="str">
        <f t="shared" si="7"/>
        <v>T2-2023</v>
      </c>
    </row>
    <row r="96" spans="1:13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 t="str">
        <f t="shared" si="4"/>
        <v>60+</v>
      </c>
      <c r="K96" t="str">
        <f t="shared" si="5"/>
        <v>viernes-11</v>
      </c>
      <c r="L96">
        <f t="shared" si="6"/>
        <v>2023</v>
      </c>
      <c r="M96" s="2" t="str">
        <f t="shared" si="7"/>
        <v>T4-2023</v>
      </c>
    </row>
    <row r="97" spans="1:13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 t="str">
        <f t="shared" si="4"/>
        <v>60+</v>
      </c>
      <c r="K97" t="str">
        <f t="shared" si="5"/>
        <v>martes-12</v>
      </c>
      <c r="L97">
        <f t="shared" si="6"/>
        <v>2023</v>
      </c>
      <c r="M97" s="2" t="str">
        <f t="shared" si="7"/>
        <v>T4-2023</v>
      </c>
    </row>
    <row r="98" spans="1:13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 t="str">
        <f t="shared" si="4"/>
        <v>60+</v>
      </c>
      <c r="K98" t="str">
        <f t="shared" si="5"/>
        <v>viernes-10</v>
      </c>
      <c r="L98">
        <f t="shared" si="6"/>
        <v>2023</v>
      </c>
      <c r="M98" s="2" t="str">
        <f t="shared" si="7"/>
        <v>T4-2023</v>
      </c>
    </row>
    <row r="99" spans="1:13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 t="str">
        <f t="shared" si="4"/>
        <v>60+</v>
      </c>
      <c r="K99" t="str">
        <f t="shared" si="5"/>
        <v>domingo-04</v>
      </c>
      <c r="L99">
        <f t="shared" si="6"/>
        <v>2023</v>
      </c>
      <c r="M99" s="2" t="str">
        <f t="shared" si="7"/>
        <v>T2-2023</v>
      </c>
    </row>
    <row r="100" spans="1:13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 t="str">
        <f t="shared" si="4"/>
        <v>60+</v>
      </c>
      <c r="K100" t="str">
        <f t="shared" si="5"/>
        <v>domingo-12</v>
      </c>
      <c r="L100">
        <f t="shared" si="6"/>
        <v>2023</v>
      </c>
      <c r="M100" s="2" t="str">
        <f t="shared" si="7"/>
        <v>T4-2023</v>
      </c>
    </row>
    <row r="101" spans="1:13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 t="str">
        <f t="shared" si="4"/>
        <v>60+</v>
      </c>
      <c r="K101" t="str">
        <f t="shared" si="5"/>
        <v>viernes-06</v>
      </c>
      <c r="L101">
        <f t="shared" si="6"/>
        <v>2023</v>
      </c>
      <c r="M101" s="2" t="str">
        <f t="shared" si="7"/>
        <v>T2-2023</v>
      </c>
    </row>
    <row r="102" spans="1:13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 t="str">
        <f t="shared" si="4"/>
        <v>60+</v>
      </c>
      <c r="K102" t="str">
        <f t="shared" si="5"/>
        <v>domingo-01</v>
      </c>
      <c r="L102">
        <f t="shared" si="6"/>
        <v>2023</v>
      </c>
      <c r="M102" s="2" t="str">
        <f t="shared" si="7"/>
        <v>T1-2023</v>
      </c>
    </row>
    <row r="103" spans="1:13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 t="str">
        <f t="shared" si="4"/>
        <v>60+</v>
      </c>
      <c r="K103" t="str">
        <f t="shared" si="5"/>
        <v>viernes-04</v>
      </c>
      <c r="L103">
        <f t="shared" si="6"/>
        <v>2023</v>
      </c>
      <c r="M103" s="2" t="str">
        <f t="shared" si="7"/>
        <v>T2-2023</v>
      </c>
    </row>
    <row r="104" spans="1:13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 t="str">
        <f t="shared" si="4"/>
        <v>60+</v>
      </c>
      <c r="K104" t="str">
        <f t="shared" si="5"/>
        <v>martes-01</v>
      </c>
      <c r="L104">
        <f t="shared" si="6"/>
        <v>2023</v>
      </c>
      <c r="M104" s="2" t="str">
        <f t="shared" si="7"/>
        <v>T1-2023</v>
      </c>
    </row>
    <row r="105" spans="1:13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 t="str">
        <f t="shared" si="4"/>
        <v>60+</v>
      </c>
      <c r="K105" t="str">
        <f t="shared" si="5"/>
        <v>domingo-06</v>
      </c>
      <c r="L105">
        <f t="shared" si="6"/>
        <v>2023</v>
      </c>
      <c r="M105" s="2" t="str">
        <f t="shared" si="7"/>
        <v>T2-2023</v>
      </c>
    </row>
    <row r="106" spans="1:13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 t="str">
        <f t="shared" si="4"/>
        <v>60+</v>
      </c>
      <c r="K106" t="str">
        <f t="shared" si="5"/>
        <v>martes-07</v>
      </c>
      <c r="L106">
        <f t="shared" si="6"/>
        <v>2023</v>
      </c>
      <c r="M106" s="2" t="str">
        <f t="shared" si="7"/>
        <v>T3-2023</v>
      </c>
    </row>
    <row r="107" spans="1:13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 t="str">
        <f t="shared" si="4"/>
        <v>60+</v>
      </c>
      <c r="K107" t="str">
        <f t="shared" si="5"/>
        <v>jueves-05</v>
      </c>
      <c r="L107">
        <f t="shared" si="6"/>
        <v>2023</v>
      </c>
      <c r="M107" s="2" t="str">
        <f t="shared" si="7"/>
        <v>T2-2023</v>
      </c>
    </row>
    <row r="108" spans="1:13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 t="str">
        <f t="shared" si="4"/>
        <v>60+</v>
      </c>
      <c r="K108" t="str">
        <f t="shared" si="5"/>
        <v>viernes-02</v>
      </c>
      <c r="L108">
        <f t="shared" si="6"/>
        <v>2023</v>
      </c>
      <c r="M108" s="2" t="str">
        <f t="shared" si="7"/>
        <v>T1-2023</v>
      </c>
    </row>
    <row r="109" spans="1:13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 t="str">
        <f t="shared" si="4"/>
        <v>60+</v>
      </c>
      <c r="K109" t="str">
        <f t="shared" si="5"/>
        <v>miércoles-04</v>
      </c>
      <c r="L109">
        <f t="shared" si="6"/>
        <v>2023</v>
      </c>
      <c r="M109" s="2" t="str">
        <f t="shared" si="7"/>
        <v>T2-2023</v>
      </c>
    </row>
    <row r="110" spans="1:13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 t="str">
        <f t="shared" si="4"/>
        <v>60+</v>
      </c>
      <c r="K110" t="str">
        <f t="shared" si="5"/>
        <v>miércoles-10</v>
      </c>
      <c r="L110">
        <f t="shared" si="6"/>
        <v>2023</v>
      </c>
      <c r="M110" s="2" t="str">
        <f t="shared" si="7"/>
        <v>T4-2023</v>
      </c>
    </row>
    <row r="111" spans="1:13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 t="str">
        <f t="shared" si="4"/>
        <v>60+</v>
      </c>
      <c r="K111" t="str">
        <f t="shared" si="5"/>
        <v>domingo-06</v>
      </c>
      <c r="L111">
        <f t="shared" si="6"/>
        <v>2023</v>
      </c>
      <c r="M111" s="2" t="str">
        <f t="shared" si="7"/>
        <v>T2-2023</v>
      </c>
    </row>
    <row r="112" spans="1:13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 t="str">
        <f t="shared" si="4"/>
        <v>60+</v>
      </c>
      <c r="K112" t="str">
        <f t="shared" si="5"/>
        <v>miércoles-04</v>
      </c>
      <c r="L112">
        <f t="shared" si="6"/>
        <v>2023</v>
      </c>
      <c r="M112" s="2" t="str">
        <f t="shared" si="7"/>
        <v>T2-2023</v>
      </c>
    </row>
    <row r="113" spans="1:13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 t="str">
        <f t="shared" si="4"/>
        <v>60+</v>
      </c>
      <c r="K113" t="str">
        <f t="shared" si="5"/>
        <v>sábado-12</v>
      </c>
      <c r="L113">
        <f t="shared" si="6"/>
        <v>2023</v>
      </c>
      <c r="M113" s="2" t="str">
        <f t="shared" si="7"/>
        <v>T4-2023</v>
      </c>
    </row>
    <row r="114" spans="1:13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 t="str">
        <f t="shared" si="4"/>
        <v>60+</v>
      </c>
      <c r="K114" t="str">
        <f t="shared" si="5"/>
        <v>miércoles-09</v>
      </c>
      <c r="L114">
        <f t="shared" si="6"/>
        <v>2023</v>
      </c>
      <c r="M114" s="2" t="str">
        <f t="shared" si="7"/>
        <v>T3-2023</v>
      </c>
    </row>
    <row r="115" spans="1:13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 t="str">
        <f t="shared" si="4"/>
        <v>60+</v>
      </c>
      <c r="K115" t="str">
        <f t="shared" si="5"/>
        <v>sábado-07</v>
      </c>
      <c r="L115">
        <f t="shared" si="6"/>
        <v>2023</v>
      </c>
      <c r="M115" s="2" t="str">
        <f t="shared" si="7"/>
        <v>T3-2023</v>
      </c>
    </row>
    <row r="116" spans="1:13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 t="str">
        <f t="shared" si="4"/>
        <v>60+</v>
      </c>
      <c r="K116" t="str">
        <f t="shared" si="5"/>
        <v>domingo-11</v>
      </c>
      <c r="L116">
        <f t="shared" si="6"/>
        <v>2023</v>
      </c>
      <c r="M116" s="2" t="str">
        <f t="shared" si="7"/>
        <v>T4-2023</v>
      </c>
    </row>
    <row r="117" spans="1:13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 t="str">
        <f t="shared" si="4"/>
        <v>60+</v>
      </c>
      <c r="K117" t="str">
        <f t="shared" si="5"/>
        <v>miércoles-08</v>
      </c>
      <c r="L117">
        <f t="shared" si="6"/>
        <v>2023</v>
      </c>
      <c r="M117" s="2" t="str">
        <f t="shared" si="7"/>
        <v>T3-2023</v>
      </c>
    </row>
    <row r="118" spans="1:13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 t="str">
        <f t="shared" si="4"/>
        <v>60+</v>
      </c>
      <c r="K118" t="str">
        <f t="shared" si="5"/>
        <v>miércoles-03</v>
      </c>
      <c r="L118">
        <f t="shared" si="6"/>
        <v>2023</v>
      </c>
      <c r="M118" s="2" t="str">
        <f t="shared" si="7"/>
        <v>T1-2023</v>
      </c>
    </row>
    <row r="119" spans="1:13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 t="str">
        <f t="shared" si="4"/>
        <v>60+</v>
      </c>
      <c r="K119" t="str">
        <f t="shared" si="5"/>
        <v>martes-05</v>
      </c>
      <c r="L119">
        <f t="shared" si="6"/>
        <v>2023</v>
      </c>
      <c r="M119" s="2" t="str">
        <f t="shared" si="7"/>
        <v>T2-2023</v>
      </c>
    </row>
    <row r="120" spans="1:13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 t="str">
        <f t="shared" si="4"/>
        <v>60+</v>
      </c>
      <c r="K120" t="str">
        <f t="shared" si="5"/>
        <v>lunes-03</v>
      </c>
      <c r="L120">
        <f t="shared" si="6"/>
        <v>2023</v>
      </c>
      <c r="M120" s="2" t="str">
        <f t="shared" si="7"/>
        <v>T1-2023</v>
      </c>
    </row>
    <row r="121" spans="1:13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 t="str">
        <f t="shared" si="4"/>
        <v>60+</v>
      </c>
      <c r="K121" t="str">
        <f t="shared" si="5"/>
        <v>domingo-05</v>
      </c>
      <c r="L121">
        <f t="shared" si="6"/>
        <v>2023</v>
      </c>
      <c r="M121" s="2" t="str">
        <f t="shared" si="7"/>
        <v>T2-2023</v>
      </c>
    </row>
    <row r="122" spans="1:13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 t="str">
        <f t="shared" si="4"/>
        <v>60+</v>
      </c>
      <c r="K122" t="str">
        <f t="shared" si="5"/>
        <v>domingo-10</v>
      </c>
      <c r="L122">
        <f t="shared" si="6"/>
        <v>2023</v>
      </c>
      <c r="M122" s="2" t="str">
        <f t="shared" si="7"/>
        <v>T4-2023</v>
      </c>
    </row>
    <row r="123" spans="1:13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 t="str">
        <f t="shared" si="4"/>
        <v>60+</v>
      </c>
      <c r="K123" t="str">
        <f t="shared" si="5"/>
        <v>martes-10</v>
      </c>
      <c r="L123">
        <f t="shared" si="6"/>
        <v>2023</v>
      </c>
      <c r="M123" s="2" t="str">
        <f t="shared" si="7"/>
        <v>T4-2023</v>
      </c>
    </row>
    <row r="124" spans="1:13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 t="str">
        <f t="shared" si="4"/>
        <v>60+</v>
      </c>
      <c r="K124" t="str">
        <f t="shared" si="5"/>
        <v>lunes-05</v>
      </c>
      <c r="L124">
        <f t="shared" si="6"/>
        <v>2023</v>
      </c>
      <c r="M124" s="2" t="str">
        <f t="shared" si="7"/>
        <v>T2-2023</v>
      </c>
    </row>
    <row r="125" spans="1:13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 t="str">
        <f t="shared" si="4"/>
        <v>60+</v>
      </c>
      <c r="K125" t="str">
        <f t="shared" si="5"/>
        <v>viernes-10</v>
      </c>
      <c r="L125">
        <f t="shared" si="6"/>
        <v>2023</v>
      </c>
      <c r="M125" s="2" t="str">
        <f t="shared" si="7"/>
        <v>T4-2023</v>
      </c>
    </row>
    <row r="126" spans="1:13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 t="str">
        <f t="shared" si="4"/>
        <v>60+</v>
      </c>
      <c r="K126" t="str">
        <f t="shared" si="5"/>
        <v>martes-08</v>
      </c>
      <c r="L126">
        <f t="shared" si="6"/>
        <v>2023</v>
      </c>
      <c r="M126" s="2" t="str">
        <f t="shared" si="7"/>
        <v>T3-2023</v>
      </c>
    </row>
    <row r="127" spans="1:13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 t="str">
        <f t="shared" si="4"/>
        <v>60+</v>
      </c>
      <c r="K127" t="str">
        <f t="shared" si="5"/>
        <v>jueves-10</v>
      </c>
      <c r="L127">
        <f t="shared" si="6"/>
        <v>2023</v>
      </c>
      <c r="M127" s="2" t="str">
        <f t="shared" si="7"/>
        <v>T4-2023</v>
      </c>
    </row>
    <row r="128" spans="1:13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 t="str">
        <f t="shared" si="4"/>
        <v>60+</v>
      </c>
      <c r="K128" t="str">
        <f t="shared" si="5"/>
        <v>lunes-07</v>
      </c>
      <c r="L128">
        <f t="shared" si="6"/>
        <v>2023</v>
      </c>
      <c r="M128" s="2" t="str">
        <f t="shared" si="7"/>
        <v>T3-2023</v>
      </c>
    </row>
    <row r="129" spans="1:13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 t="str">
        <f t="shared" si="4"/>
        <v>60+</v>
      </c>
      <c r="K129" t="str">
        <f t="shared" si="5"/>
        <v>miércoles-07</v>
      </c>
      <c r="L129">
        <f t="shared" si="6"/>
        <v>2023</v>
      </c>
      <c r="M129" s="2" t="str">
        <f t="shared" si="7"/>
        <v>T3-2023</v>
      </c>
    </row>
    <row r="130" spans="1:13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 t="str">
        <f t="shared" ref="J130:J193" si="8">IF(D130&lt;30,"18-29",IF(D130&lt;45,"30-44",IF(D130&lt;60,"45-59","60+")))</f>
        <v>60+</v>
      </c>
      <c r="K130" t="str">
        <f t="shared" ref="K130:K193" si="9">TEXT(B130,"AAAA-MM")</f>
        <v>domingo-04</v>
      </c>
      <c r="L130">
        <f t="shared" ref="L130:L193" si="10">YEAR(B130)</f>
        <v>2023</v>
      </c>
      <c r="M130" s="2" t="str">
        <f t="shared" ref="M130:M193" si="11">"T"&amp;INT((MONTH(B130)-1)/3+1)&amp;"-"&amp;YEAR(B130)</f>
        <v>T2-2023</v>
      </c>
    </row>
    <row r="131" spans="1:13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 t="str">
        <f t="shared" si="8"/>
        <v>60+</v>
      </c>
      <c r="K131" t="str">
        <f t="shared" si="9"/>
        <v>domingo-03</v>
      </c>
      <c r="L131">
        <f t="shared" si="10"/>
        <v>2023</v>
      </c>
      <c r="M131" s="2" t="str">
        <f t="shared" si="11"/>
        <v>T1-2023</v>
      </c>
    </row>
    <row r="132" spans="1:13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 t="str">
        <f t="shared" si="8"/>
        <v>60+</v>
      </c>
      <c r="K132" t="str">
        <f t="shared" si="9"/>
        <v>lunes-09</v>
      </c>
      <c r="L132">
        <f t="shared" si="10"/>
        <v>2023</v>
      </c>
      <c r="M132" s="2" t="str">
        <f t="shared" si="11"/>
        <v>T3-2023</v>
      </c>
    </row>
    <row r="133" spans="1:13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 t="str">
        <f t="shared" si="8"/>
        <v>60+</v>
      </c>
      <c r="K133" t="str">
        <f t="shared" si="9"/>
        <v>domingo-09</v>
      </c>
      <c r="L133">
        <f t="shared" si="10"/>
        <v>2023</v>
      </c>
      <c r="M133" s="2" t="str">
        <f t="shared" si="11"/>
        <v>T3-2023</v>
      </c>
    </row>
    <row r="134" spans="1:13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 t="str">
        <f t="shared" si="8"/>
        <v>60+</v>
      </c>
      <c r="K134" t="str">
        <f t="shared" si="9"/>
        <v>jueves-02</v>
      </c>
      <c r="L134">
        <f t="shared" si="10"/>
        <v>2023</v>
      </c>
      <c r="M134" s="2" t="str">
        <f t="shared" si="11"/>
        <v>T1-2023</v>
      </c>
    </row>
    <row r="135" spans="1:13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 t="str">
        <f t="shared" si="8"/>
        <v>60+</v>
      </c>
      <c r="K135" t="str">
        <f t="shared" si="9"/>
        <v>miércoles-01</v>
      </c>
      <c r="L135">
        <f t="shared" si="10"/>
        <v>2023</v>
      </c>
      <c r="M135" s="2" t="str">
        <f t="shared" si="11"/>
        <v>T1-2023</v>
      </c>
    </row>
    <row r="136" spans="1:13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 t="str">
        <f t="shared" si="8"/>
        <v>60+</v>
      </c>
      <c r="K136" t="str">
        <f t="shared" si="9"/>
        <v>domingo-02</v>
      </c>
      <c r="L136">
        <f t="shared" si="10"/>
        <v>2023</v>
      </c>
      <c r="M136" s="2" t="str">
        <f t="shared" si="11"/>
        <v>T1-2023</v>
      </c>
    </row>
    <row r="137" spans="1:13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 t="str">
        <f t="shared" si="8"/>
        <v>60+</v>
      </c>
      <c r="K137" t="str">
        <f t="shared" si="9"/>
        <v>lunes-03</v>
      </c>
      <c r="L137">
        <f t="shared" si="10"/>
        <v>2023</v>
      </c>
      <c r="M137" s="2" t="str">
        <f t="shared" si="11"/>
        <v>T1-2023</v>
      </c>
    </row>
    <row r="138" spans="1:13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 t="str">
        <f t="shared" si="8"/>
        <v>60+</v>
      </c>
      <c r="K138" t="str">
        <f t="shared" si="9"/>
        <v>sábado-11</v>
      </c>
      <c r="L138">
        <f t="shared" si="10"/>
        <v>2023</v>
      </c>
      <c r="M138" s="2" t="str">
        <f t="shared" si="11"/>
        <v>T4-2023</v>
      </c>
    </row>
    <row r="139" spans="1:13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 t="str">
        <f t="shared" si="8"/>
        <v>60+</v>
      </c>
      <c r="K139" t="str">
        <f t="shared" si="9"/>
        <v>jueves-03</v>
      </c>
      <c r="L139">
        <f t="shared" si="10"/>
        <v>2023</v>
      </c>
      <c r="M139" s="2" t="str">
        <f t="shared" si="11"/>
        <v>T1-2023</v>
      </c>
    </row>
    <row r="140" spans="1:13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 t="str">
        <f t="shared" si="8"/>
        <v>60+</v>
      </c>
      <c r="K140" t="str">
        <f t="shared" si="9"/>
        <v>viernes-12</v>
      </c>
      <c r="L140">
        <f t="shared" si="10"/>
        <v>2023</v>
      </c>
      <c r="M140" s="2" t="str">
        <f t="shared" si="11"/>
        <v>T4-2023</v>
      </c>
    </row>
    <row r="141" spans="1:13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 t="str">
        <f t="shared" si="8"/>
        <v>60+</v>
      </c>
      <c r="K141" t="str">
        <f t="shared" si="9"/>
        <v>sábado-08</v>
      </c>
      <c r="L141">
        <f t="shared" si="10"/>
        <v>2023</v>
      </c>
      <c r="M141" s="2" t="str">
        <f t="shared" si="11"/>
        <v>T3-2023</v>
      </c>
    </row>
    <row r="142" spans="1:13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 t="str">
        <f t="shared" si="8"/>
        <v>60+</v>
      </c>
      <c r="K142" t="str">
        <f t="shared" si="9"/>
        <v>jueves-11</v>
      </c>
      <c r="L142">
        <f t="shared" si="10"/>
        <v>2023</v>
      </c>
      <c r="M142" s="2" t="str">
        <f t="shared" si="11"/>
        <v>T4-2023</v>
      </c>
    </row>
    <row r="143" spans="1:13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 t="str">
        <f t="shared" si="8"/>
        <v>60+</v>
      </c>
      <c r="K143" t="str">
        <f t="shared" si="9"/>
        <v>jueves-02</v>
      </c>
      <c r="L143">
        <f t="shared" si="10"/>
        <v>2023</v>
      </c>
      <c r="M143" s="2" t="str">
        <f t="shared" si="11"/>
        <v>T1-2023</v>
      </c>
    </row>
    <row r="144" spans="1:13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 t="str">
        <f t="shared" si="8"/>
        <v>60+</v>
      </c>
      <c r="K144" t="str">
        <f t="shared" si="9"/>
        <v>lunes-07</v>
      </c>
      <c r="L144">
        <f t="shared" si="10"/>
        <v>2023</v>
      </c>
      <c r="M144" s="2" t="str">
        <f t="shared" si="11"/>
        <v>T3-2023</v>
      </c>
    </row>
    <row r="145" spans="1:13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 t="str">
        <f t="shared" si="8"/>
        <v>60+</v>
      </c>
      <c r="K145" t="str">
        <f t="shared" si="9"/>
        <v>sábado-07</v>
      </c>
      <c r="L145">
        <f t="shared" si="10"/>
        <v>2023</v>
      </c>
      <c r="M145" s="2" t="str">
        <f t="shared" si="11"/>
        <v>T3-2023</v>
      </c>
    </row>
    <row r="146" spans="1:13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 t="str">
        <f t="shared" si="8"/>
        <v>60+</v>
      </c>
      <c r="K146" t="str">
        <f t="shared" si="9"/>
        <v>jueves-11</v>
      </c>
      <c r="L146">
        <f t="shared" si="10"/>
        <v>2023</v>
      </c>
      <c r="M146" s="2" t="str">
        <f t="shared" si="11"/>
        <v>T4-2023</v>
      </c>
    </row>
    <row r="147" spans="1:13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 t="str">
        <f t="shared" si="8"/>
        <v>60+</v>
      </c>
      <c r="K147" t="str">
        <f t="shared" si="9"/>
        <v>lunes-08</v>
      </c>
      <c r="L147">
        <f t="shared" si="10"/>
        <v>2023</v>
      </c>
      <c r="M147" s="2" t="str">
        <f t="shared" si="11"/>
        <v>T3-2023</v>
      </c>
    </row>
    <row r="148" spans="1:13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 t="str">
        <f t="shared" si="8"/>
        <v>60+</v>
      </c>
      <c r="K148" t="str">
        <f t="shared" si="9"/>
        <v>jueves-09</v>
      </c>
      <c r="L148">
        <f t="shared" si="10"/>
        <v>2023</v>
      </c>
      <c r="M148" s="2" t="str">
        <f t="shared" si="11"/>
        <v>T3-2023</v>
      </c>
    </row>
    <row r="149" spans="1:13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 t="str">
        <f t="shared" si="8"/>
        <v>60+</v>
      </c>
      <c r="K149" t="str">
        <f t="shared" si="9"/>
        <v>martes-05</v>
      </c>
      <c r="L149">
        <f t="shared" si="10"/>
        <v>2023</v>
      </c>
      <c r="M149" s="2" t="str">
        <f t="shared" si="11"/>
        <v>T2-2023</v>
      </c>
    </row>
    <row r="150" spans="1:13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 t="str">
        <f t="shared" si="8"/>
        <v>60+</v>
      </c>
      <c r="K150" t="str">
        <f t="shared" si="9"/>
        <v>miércoles-10</v>
      </c>
      <c r="L150">
        <f t="shared" si="10"/>
        <v>2023</v>
      </c>
      <c r="M150" s="2" t="str">
        <f t="shared" si="11"/>
        <v>T4-2023</v>
      </c>
    </row>
    <row r="151" spans="1:13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 t="str">
        <f t="shared" si="8"/>
        <v>60+</v>
      </c>
      <c r="K151" t="str">
        <f t="shared" si="9"/>
        <v>viernes-01</v>
      </c>
      <c r="L151">
        <f t="shared" si="10"/>
        <v>2023</v>
      </c>
      <c r="M151" s="2" t="str">
        <f t="shared" si="11"/>
        <v>T1-2023</v>
      </c>
    </row>
    <row r="152" spans="1:13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 t="str">
        <f t="shared" si="8"/>
        <v>60+</v>
      </c>
      <c r="K152" t="str">
        <f t="shared" si="9"/>
        <v>viernes-12</v>
      </c>
      <c r="L152">
        <f t="shared" si="10"/>
        <v>2023</v>
      </c>
      <c r="M152" s="2" t="str">
        <f t="shared" si="11"/>
        <v>T4-2023</v>
      </c>
    </row>
    <row r="153" spans="1:13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 t="str">
        <f t="shared" si="8"/>
        <v>60+</v>
      </c>
      <c r="K153" t="str">
        <f t="shared" si="9"/>
        <v>martes-02</v>
      </c>
      <c r="L153">
        <f t="shared" si="10"/>
        <v>2023</v>
      </c>
      <c r="M153" s="2" t="str">
        <f t="shared" si="11"/>
        <v>T1-2023</v>
      </c>
    </row>
    <row r="154" spans="1:13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 t="str">
        <f t="shared" si="8"/>
        <v>60+</v>
      </c>
      <c r="K154" t="str">
        <f t="shared" si="9"/>
        <v>sábado-12</v>
      </c>
      <c r="L154">
        <f t="shared" si="10"/>
        <v>2023</v>
      </c>
      <c r="M154" s="2" t="str">
        <f t="shared" si="11"/>
        <v>T4-2023</v>
      </c>
    </row>
    <row r="155" spans="1:13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 t="str">
        <f t="shared" si="8"/>
        <v>60+</v>
      </c>
      <c r="K155" t="str">
        <f t="shared" si="9"/>
        <v>lunes-10</v>
      </c>
      <c r="L155">
        <f t="shared" si="10"/>
        <v>2023</v>
      </c>
      <c r="M155" s="2" t="str">
        <f t="shared" si="11"/>
        <v>T4-2023</v>
      </c>
    </row>
    <row r="156" spans="1:13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 t="str">
        <f t="shared" si="8"/>
        <v>60+</v>
      </c>
      <c r="K156" t="str">
        <f t="shared" si="9"/>
        <v>miércoles-05</v>
      </c>
      <c r="L156">
        <f t="shared" si="10"/>
        <v>2023</v>
      </c>
      <c r="M156" s="2" t="str">
        <f t="shared" si="11"/>
        <v>T2-2023</v>
      </c>
    </row>
    <row r="157" spans="1:13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 t="str">
        <f t="shared" si="8"/>
        <v>60+</v>
      </c>
      <c r="K157" t="str">
        <f t="shared" si="9"/>
        <v>sábado-11</v>
      </c>
      <c r="L157">
        <f t="shared" si="10"/>
        <v>2023</v>
      </c>
      <c r="M157" s="2" t="str">
        <f t="shared" si="11"/>
        <v>T4-2023</v>
      </c>
    </row>
    <row r="158" spans="1:13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 t="str">
        <f t="shared" si="8"/>
        <v>60+</v>
      </c>
      <c r="K158" t="str">
        <f t="shared" si="9"/>
        <v>sábado-06</v>
      </c>
      <c r="L158">
        <f t="shared" si="10"/>
        <v>2023</v>
      </c>
      <c r="M158" s="2" t="str">
        <f t="shared" si="11"/>
        <v>T2-2023</v>
      </c>
    </row>
    <row r="159" spans="1:13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 t="str">
        <f t="shared" si="8"/>
        <v>60+</v>
      </c>
      <c r="K159" t="str">
        <f t="shared" si="9"/>
        <v>lunes-02</v>
      </c>
      <c r="L159">
        <f t="shared" si="10"/>
        <v>2023</v>
      </c>
      <c r="M159" s="2" t="str">
        <f t="shared" si="11"/>
        <v>T1-2023</v>
      </c>
    </row>
    <row r="160" spans="1:13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 t="str">
        <f t="shared" si="8"/>
        <v>60+</v>
      </c>
      <c r="K160" t="str">
        <f t="shared" si="9"/>
        <v>miércoles-05</v>
      </c>
      <c r="L160">
        <f t="shared" si="10"/>
        <v>2023</v>
      </c>
      <c r="M160" s="2" t="str">
        <f t="shared" si="11"/>
        <v>T2-2023</v>
      </c>
    </row>
    <row r="161" spans="1:13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 t="str">
        <f t="shared" si="8"/>
        <v>60+</v>
      </c>
      <c r="K161" t="str">
        <f t="shared" si="9"/>
        <v>viernes-08</v>
      </c>
      <c r="L161">
        <f t="shared" si="10"/>
        <v>2023</v>
      </c>
      <c r="M161" s="2" t="str">
        <f t="shared" si="11"/>
        <v>T3-2023</v>
      </c>
    </row>
    <row r="162" spans="1:13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 t="str">
        <f t="shared" si="8"/>
        <v>60+</v>
      </c>
      <c r="K162" t="str">
        <f t="shared" si="9"/>
        <v>miércoles-03</v>
      </c>
      <c r="L162">
        <f t="shared" si="10"/>
        <v>2023</v>
      </c>
      <c r="M162" s="2" t="str">
        <f t="shared" si="11"/>
        <v>T1-2023</v>
      </c>
    </row>
    <row r="163" spans="1:13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 t="str">
        <f t="shared" si="8"/>
        <v>60+</v>
      </c>
      <c r="K163" t="str">
        <f t="shared" si="9"/>
        <v>lunes-08</v>
      </c>
      <c r="L163">
        <f t="shared" si="10"/>
        <v>2023</v>
      </c>
      <c r="M163" s="2" t="str">
        <f t="shared" si="11"/>
        <v>T3-2023</v>
      </c>
    </row>
    <row r="164" spans="1:13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 t="str">
        <f t="shared" si="8"/>
        <v>60+</v>
      </c>
      <c r="K164" t="str">
        <f t="shared" si="9"/>
        <v>lunes-01</v>
      </c>
      <c r="L164">
        <f t="shared" si="10"/>
        <v>2023</v>
      </c>
      <c r="M164" s="2" t="str">
        <f t="shared" si="11"/>
        <v>T1-2023</v>
      </c>
    </row>
    <row r="165" spans="1:13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 t="str">
        <f t="shared" si="8"/>
        <v>60+</v>
      </c>
      <c r="K165" t="str">
        <f t="shared" si="9"/>
        <v>lunes-05</v>
      </c>
      <c r="L165">
        <f t="shared" si="10"/>
        <v>2023</v>
      </c>
      <c r="M165" s="2" t="str">
        <f t="shared" si="11"/>
        <v>T2-2023</v>
      </c>
    </row>
    <row r="166" spans="1:13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 t="str">
        <f t="shared" si="8"/>
        <v>60+</v>
      </c>
      <c r="K166" t="str">
        <f t="shared" si="9"/>
        <v>jueves-09</v>
      </c>
      <c r="L166">
        <f t="shared" si="10"/>
        <v>2023</v>
      </c>
      <c r="M166" s="2" t="str">
        <f t="shared" si="11"/>
        <v>T3-2023</v>
      </c>
    </row>
    <row r="167" spans="1:13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 t="str">
        <f t="shared" si="8"/>
        <v>60+</v>
      </c>
      <c r="K167" t="str">
        <f t="shared" si="9"/>
        <v>domingo-04</v>
      </c>
      <c r="L167">
        <f t="shared" si="10"/>
        <v>2023</v>
      </c>
      <c r="M167" s="2" t="str">
        <f t="shared" si="11"/>
        <v>T2-2023</v>
      </c>
    </row>
    <row r="168" spans="1:13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 t="str">
        <f t="shared" si="8"/>
        <v>60+</v>
      </c>
      <c r="K168" t="str">
        <f t="shared" si="9"/>
        <v>domingo-09</v>
      </c>
      <c r="L168">
        <f t="shared" si="10"/>
        <v>2023</v>
      </c>
      <c r="M168" s="2" t="str">
        <f t="shared" si="11"/>
        <v>T3-2023</v>
      </c>
    </row>
    <row r="169" spans="1:13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 t="str">
        <f t="shared" si="8"/>
        <v>60+</v>
      </c>
      <c r="K169" t="str">
        <f t="shared" si="9"/>
        <v>viernes-02</v>
      </c>
      <c r="L169">
        <f t="shared" si="10"/>
        <v>2023</v>
      </c>
      <c r="M169" s="2" t="str">
        <f t="shared" si="11"/>
        <v>T1-2023</v>
      </c>
    </row>
    <row r="170" spans="1:13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 t="str">
        <f t="shared" si="8"/>
        <v>60+</v>
      </c>
      <c r="K170" t="str">
        <f t="shared" si="9"/>
        <v>viernes-11</v>
      </c>
      <c r="L170">
        <f t="shared" si="10"/>
        <v>2023</v>
      </c>
      <c r="M170" s="2" t="str">
        <f t="shared" si="11"/>
        <v>T4-2023</v>
      </c>
    </row>
    <row r="171" spans="1:13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 t="str">
        <f t="shared" si="8"/>
        <v>60+</v>
      </c>
      <c r="K171" t="str">
        <f t="shared" si="9"/>
        <v>viernes-06</v>
      </c>
      <c r="L171">
        <f t="shared" si="10"/>
        <v>2023</v>
      </c>
      <c r="M171" s="2" t="str">
        <f t="shared" si="11"/>
        <v>T2-2023</v>
      </c>
    </row>
    <row r="172" spans="1:13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 t="str">
        <f t="shared" si="8"/>
        <v>60+</v>
      </c>
      <c r="K172" t="str">
        <f t="shared" si="9"/>
        <v>viernes-11</v>
      </c>
      <c r="L172">
        <f t="shared" si="10"/>
        <v>2023</v>
      </c>
      <c r="M172" s="2" t="str">
        <f t="shared" si="11"/>
        <v>T4-2023</v>
      </c>
    </row>
    <row r="173" spans="1:13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 t="str">
        <f t="shared" si="8"/>
        <v>60+</v>
      </c>
      <c r="K173" t="str">
        <f t="shared" si="9"/>
        <v>domingo-09</v>
      </c>
      <c r="L173">
        <f t="shared" si="10"/>
        <v>2023</v>
      </c>
      <c r="M173" s="2" t="str">
        <f t="shared" si="11"/>
        <v>T3-2023</v>
      </c>
    </row>
    <row r="174" spans="1:13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 t="str">
        <f t="shared" si="8"/>
        <v>60+</v>
      </c>
      <c r="K174" t="str">
        <f t="shared" si="9"/>
        <v>miércoles-11</v>
      </c>
      <c r="L174">
        <f t="shared" si="10"/>
        <v>2023</v>
      </c>
      <c r="M174" s="2" t="str">
        <f t="shared" si="11"/>
        <v>T4-2023</v>
      </c>
    </row>
    <row r="175" spans="1:13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 t="str">
        <f t="shared" si="8"/>
        <v>60+</v>
      </c>
      <c r="K175" t="str">
        <f t="shared" si="9"/>
        <v>miércoles-04</v>
      </c>
      <c r="L175">
        <f t="shared" si="10"/>
        <v>2023</v>
      </c>
      <c r="M175" s="2" t="str">
        <f t="shared" si="11"/>
        <v>T2-2023</v>
      </c>
    </row>
    <row r="176" spans="1:13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 t="str">
        <f t="shared" si="8"/>
        <v>60+</v>
      </c>
      <c r="K176" t="str">
        <f t="shared" si="9"/>
        <v>lunes-03</v>
      </c>
      <c r="L176">
        <f t="shared" si="10"/>
        <v>2023</v>
      </c>
      <c r="M176" s="2" t="str">
        <f t="shared" si="11"/>
        <v>T1-2023</v>
      </c>
    </row>
    <row r="177" spans="1:13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 t="str">
        <f t="shared" si="8"/>
        <v>60+</v>
      </c>
      <c r="K177" t="str">
        <f t="shared" si="9"/>
        <v>martes-07</v>
      </c>
      <c r="L177">
        <f t="shared" si="10"/>
        <v>2023</v>
      </c>
      <c r="M177" s="2" t="str">
        <f t="shared" si="11"/>
        <v>T3-2023</v>
      </c>
    </row>
    <row r="178" spans="1:13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 t="str">
        <f t="shared" si="8"/>
        <v>60+</v>
      </c>
      <c r="K178" t="str">
        <f t="shared" si="9"/>
        <v>viernes-03</v>
      </c>
      <c r="L178">
        <f t="shared" si="10"/>
        <v>2023</v>
      </c>
      <c r="M178" s="2" t="str">
        <f t="shared" si="11"/>
        <v>T1-2023</v>
      </c>
    </row>
    <row r="179" spans="1:13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 t="str">
        <f t="shared" si="8"/>
        <v>60+</v>
      </c>
      <c r="K179" t="str">
        <f t="shared" si="9"/>
        <v>miércoles-10</v>
      </c>
      <c r="L179">
        <f t="shared" si="10"/>
        <v>2023</v>
      </c>
      <c r="M179" s="2" t="str">
        <f t="shared" si="11"/>
        <v>T4-2023</v>
      </c>
    </row>
    <row r="180" spans="1:13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 t="str">
        <f t="shared" si="8"/>
        <v>60+</v>
      </c>
      <c r="K180" t="str">
        <f t="shared" si="9"/>
        <v>viernes-09</v>
      </c>
      <c r="L180">
        <f t="shared" si="10"/>
        <v>2023</v>
      </c>
      <c r="M180" s="2" t="str">
        <f t="shared" si="11"/>
        <v>T3-2023</v>
      </c>
    </row>
    <row r="181" spans="1:13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 t="str">
        <f t="shared" si="8"/>
        <v>60+</v>
      </c>
      <c r="K181" t="str">
        <f t="shared" si="9"/>
        <v>domingo-01</v>
      </c>
      <c r="L181">
        <f t="shared" si="10"/>
        <v>2023</v>
      </c>
      <c r="M181" s="2" t="str">
        <f t="shared" si="11"/>
        <v>T1-2023</v>
      </c>
    </row>
    <row r="182" spans="1:13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 t="str">
        <f t="shared" si="8"/>
        <v>60+</v>
      </c>
      <c r="K182" t="str">
        <f t="shared" si="9"/>
        <v>viernes-11</v>
      </c>
      <c r="L182">
        <f t="shared" si="10"/>
        <v>2023</v>
      </c>
      <c r="M182" s="2" t="str">
        <f t="shared" si="11"/>
        <v>T4-2023</v>
      </c>
    </row>
    <row r="183" spans="1:13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 t="str">
        <f t="shared" si="8"/>
        <v>60+</v>
      </c>
      <c r="K183" t="str">
        <f t="shared" si="9"/>
        <v>jueves-06</v>
      </c>
      <c r="L183">
        <f t="shared" si="10"/>
        <v>2023</v>
      </c>
      <c r="M183" s="2" t="str">
        <f t="shared" si="11"/>
        <v>T2-2023</v>
      </c>
    </row>
    <row r="184" spans="1:13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 t="str">
        <f t="shared" si="8"/>
        <v>60+</v>
      </c>
      <c r="K184" t="str">
        <f t="shared" si="9"/>
        <v>viernes-09</v>
      </c>
      <c r="L184">
        <f t="shared" si="10"/>
        <v>2023</v>
      </c>
      <c r="M184" s="2" t="str">
        <f t="shared" si="11"/>
        <v>T3-2023</v>
      </c>
    </row>
    <row r="185" spans="1:13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 t="str">
        <f t="shared" si="8"/>
        <v>60+</v>
      </c>
      <c r="K185" t="str">
        <f t="shared" si="9"/>
        <v>martes-01</v>
      </c>
      <c r="L185">
        <f t="shared" si="10"/>
        <v>2023</v>
      </c>
      <c r="M185" s="2" t="str">
        <f t="shared" si="11"/>
        <v>T1-2023</v>
      </c>
    </row>
    <row r="186" spans="1:13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 t="str">
        <f t="shared" si="8"/>
        <v>60+</v>
      </c>
      <c r="K186" t="str">
        <f t="shared" si="9"/>
        <v>lunes-02</v>
      </c>
      <c r="L186">
        <f t="shared" si="10"/>
        <v>2023</v>
      </c>
      <c r="M186" s="2" t="str">
        <f t="shared" si="11"/>
        <v>T1-2023</v>
      </c>
    </row>
    <row r="187" spans="1:13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 t="str">
        <f t="shared" si="8"/>
        <v>60+</v>
      </c>
      <c r="K187" t="str">
        <f t="shared" si="9"/>
        <v>miércoles-07</v>
      </c>
      <c r="L187">
        <f t="shared" si="10"/>
        <v>2023</v>
      </c>
      <c r="M187" s="2" t="str">
        <f t="shared" si="11"/>
        <v>T3-2023</v>
      </c>
    </row>
    <row r="188" spans="1:13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 t="str">
        <f t="shared" si="8"/>
        <v>60+</v>
      </c>
      <c r="K188" t="str">
        <f t="shared" si="9"/>
        <v>miércoles-06</v>
      </c>
      <c r="L188">
        <f t="shared" si="10"/>
        <v>2023</v>
      </c>
      <c r="M188" s="2" t="str">
        <f t="shared" si="11"/>
        <v>T2-2023</v>
      </c>
    </row>
    <row r="189" spans="1:13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 t="str">
        <f t="shared" si="8"/>
        <v>60+</v>
      </c>
      <c r="K189" t="str">
        <f t="shared" si="9"/>
        <v>miércoles-05</v>
      </c>
      <c r="L189">
        <f t="shared" si="10"/>
        <v>2023</v>
      </c>
      <c r="M189" s="2" t="str">
        <f t="shared" si="11"/>
        <v>T2-2023</v>
      </c>
    </row>
    <row r="190" spans="1:13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 t="str">
        <f t="shared" si="8"/>
        <v>60+</v>
      </c>
      <c r="K190" t="str">
        <f t="shared" si="9"/>
        <v>lunes-01</v>
      </c>
      <c r="L190">
        <f t="shared" si="10"/>
        <v>2023</v>
      </c>
      <c r="M190" s="2" t="str">
        <f t="shared" si="11"/>
        <v>T1-2023</v>
      </c>
    </row>
    <row r="191" spans="1:13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 t="str">
        <f t="shared" si="8"/>
        <v>60+</v>
      </c>
      <c r="K191" t="str">
        <f t="shared" si="9"/>
        <v>jueves-05</v>
      </c>
      <c r="L191">
        <f t="shared" si="10"/>
        <v>2023</v>
      </c>
      <c r="M191" s="2" t="str">
        <f t="shared" si="11"/>
        <v>T2-2023</v>
      </c>
    </row>
    <row r="192" spans="1:13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 t="str">
        <f t="shared" si="8"/>
        <v>60+</v>
      </c>
      <c r="K192" t="str">
        <f t="shared" si="9"/>
        <v>miércoles-10</v>
      </c>
      <c r="L192">
        <f t="shared" si="10"/>
        <v>2023</v>
      </c>
      <c r="M192" s="2" t="str">
        <f t="shared" si="11"/>
        <v>T4-2023</v>
      </c>
    </row>
    <row r="193" spans="1:13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 t="str">
        <f t="shared" si="8"/>
        <v>60+</v>
      </c>
      <c r="K193" t="str">
        <f t="shared" si="9"/>
        <v>viernes-02</v>
      </c>
      <c r="L193">
        <f t="shared" si="10"/>
        <v>2023</v>
      </c>
      <c r="M193" s="2" t="str">
        <f t="shared" si="11"/>
        <v>T1-2023</v>
      </c>
    </row>
    <row r="194" spans="1:13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 t="str">
        <f t="shared" ref="J194:J257" si="12">IF(D194&lt;30,"18-29",IF(D194&lt;45,"30-44",IF(D194&lt;60,"45-59","60+")))</f>
        <v>60+</v>
      </c>
      <c r="K194" t="str">
        <f t="shared" ref="K194:K257" si="13">TEXT(B194,"AAAA-MM")</f>
        <v>lunes-02</v>
      </c>
      <c r="L194">
        <f t="shared" ref="L194:L257" si="14">YEAR(B194)</f>
        <v>2023</v>
      </c>
      <c r="M194" s="2" t="str">
        <f t="shared" ref="M194:M257" si="15">"T"&amp;INT((MONTH(B194)-1)/3+1)&amp;"-"&amp;YEAR(B194)</f>
        <v>T1-2023</v>
      </c>
    </row>
    <row r="195" spans="1:13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 t="str">
        <f t="shared" si="12"/>
        <v>60+</v>
      </c>
      <c r="K195" t="str">
        <f t="shared" si="13"/>
        <v>miércoles-09</v>
      </c>
      <c r="L195">
        <f t="shared" si="14"/>
        <v>2023</v>
      </c>
      <c r="M195" s="2" t="str">
        <f t="shared" si="15"/>
        <v>T3-2023</v>
      </c>
    </row>
    <row r="196" spans="1:13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 t="str">
        <f t="shared" si="12"/>
        <v>60+</v>
      </c>
      <c r="K196" t="str">
        <f t="shared" si="13"/>
        <v>domingo-02</v>
      </c>
      <c r="L196">
        <f t="shared" si="14"/>
        <v>2023</v>
      </c>
      <c r="M196" s="2" t="str">
        <f t="shared" si="15"/>
        <v>T1-2023</v>
      </c>
    </row>
    <row r="197" spans="1:13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 t="str">
        <f t="shared" si="12"/>
        <v>60+</v>
      </c>
      <c r="K197" t="str">
        <f t="shared" si="13"/>
        <v>sábado-09</v>
      </c>
      <c r="L197">
        <f t="shared" si="14"/>
        <v>2023</v>
      </c>
      <c r="M197" s="2" t="str">
        <f t="shared" si="15"/>
        <v>T3-2023</v>
      </c>
    </row>
    <row r="198" spans="1:13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 t="str">
        <f t="shared" si="12"/>
        <v>60+</v>
      </c>
      <c r="K198" t="str">
        <f t="shared" si="13"/>
        <v>lunes-03</v>
      </c>
      <c r="L198">
        <f t="shared" si="14"/>
        <v>2023</v>
      </c>
      <c r="M198" s="2" t="str">
        <f t="shared" si="15"/>
        <v>T1-2023</v>
      </c>
    </row>
    <row r="199" spans="1:13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 t="str">
        <f t="shared" si="12"/>
        <v>60+</v>
      </c>
      <c r="K199" t="str">
        <f t="shared" si="13"/>
        <v>martes-03</v>
      </c>
      <c r="L199">
        <f t="shared" si="14"/>
        <v>2023</v>
      </c>
      <c r="M199" s="2" t="str">
        <f t="shared" si="15"/>
        <v>T1-2023</v>
      </c>
    </row>
    <row r="200" spans="1:13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 t="str">
        <f t="shared" si="12"/>
        <v>60+</v>
      </c>
      <c r="K200" t="str">
        <f t="shared" si="13"/>
        <v>lunes-12</v>
      </c>
      <c r="L200">
        <f t="shared" si="14"/>
        <v>2023</v>
      </c>
      <c r="M200" s="2" t="str">
        <f t="shared" si="15"/>
        <v>T4-2023</v>
      </c>
    </row>
    <row r="201" spans="1:13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 t="str">
        <f t="shared" si="12"/>
        <v>60+</v>
      </c>
      <c r="K201" t="str">
        <f t="shared" si="13"/>
        <v>viernes-09</v>
      </c>
      <c r="L201">
        <f t="shared" si="14"/>
        <v>2023</v>
      </c>
      <c r="M201" s="2" t="str">
        <f t="shared" si="15"/>
        <v>T3-2023</v>
      </c>
    </row>
    <row r="202" spans="1:13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 t="str">
        <f t="shared" si="12"/>
        <v>60+</v>
      </c>
      <c r="K202" t="str">
        <f t="shared" si="13"/>
        <v>lunes-10</v>
      </c>
      <c r="L202">
        <f t="shared" si="14"/>
        <v>2023</v>
      </c>
      <c r="M202" s="2" t="str">
        <f t="shared" si="15"/>
        <v>T4-2023</v>
      </c>
    </row>
    <row r="203" spans="1:13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 t="str">
        <f t="shared" si="12"/>
        <v>60+</v>
      </c>
      <c r="K203" t="str">
        <f t="shared" si="13"/>
        <v>domingo-03</v>
      </c>
      <c r="L203">
        <f t="shared" si="14"/>
        <v>2023</v>
      </c>
      <c r="M203" s="2" t="str">
        <f t="shared" si="15"/>
        <v>T1-2023</v>
      </c>
    </row>
    <row r="204" spans="1:13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 t="str">
        <f t="shared" si="12"/>
        <v>60+</v>
      </c>
      <c r="K204" t="str">
        <f t="shared" si="13"/>
        <v>martes-05</v>
      </c>
      <c r="L204">
        <f t="shared" si="14"/>
        <v>2023</v>
      </c>
      <c r="M204" s="2" t="str">
        <f t="shared" si="15"/>
        <v>T2-2023</v>
      </c>
    </row>
    <row r="205" spans="1:13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 t="str">
        <f t="shared" si="12"/>
        <v>60+</v>
      </c>
      <c r="K205" t="str">
        <f t="shared" si="13"/>
        <v>jueves-09</v>
      </c>
      <c r="L205">
        <f t="shared" si="14"/>
        <v>2023</v>
      </c>
      <c r="M205" s="2" t="str">
        <f t="shared" si="15"/>
        <v>T3-2023</v>
      </c>
    </row>
    <row r="206" spans="1:13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 t="str">
        <f t="shared" si="12"/>
        <v>60+</v>
      </c>
      <c r="K206" t="str">
        <f t="shared" si="13"/>
        <v>martes-11</v>
      </c>
      <c r="L206">
        <f t="shared" si="14"/>
        <v>2023</v>
      </c>
      <c r="M206" s="2" t="str">
        <f t="shared" si="15"/>
        <v>T4-2023</v>
      </c>
    </row>
    <row r="207" spans="1:13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 t="str">
        <f t="shared" si="12"/>
        <v>60+</v>
      </c>
      <c r="K207" t="str">
        <f t="shared" si="13"/>
        <v>sábado-08</v>
      </c>
      <c r="L207">
        <f t="shared" si="14"/>
        <v>2023</v>
      </c>
      <c r="M207" s="2" t="str">
        <f t="shared" si="15"/>
        <v>T3-2023</v>
      </c>
    </row>
    <row r="208" spans="1:13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 t="str">
        <f t="shared" si="12"/>
        <v>60+</v>
      </c>
      <c r="K208" t="str">
        <f t="shared" si="13"/>
        <v>miércoles-04</v>
      </c>
      <c r="L208">
        <f t="shared" si="14"/>
        <v>2023</v>
      </c>
      <c r="M208" s="2" t="str">
        <f t="shared" si="15"/>
        <v>T2-2023</v>
      </c>
    </row>
    <row r="209" spans="1:13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 t="str">
        <f t="shared" si="12"/>
        <v>60+</v>
      </c>
      <c r="K209" t="str">
        <f t="shared" si="13"/>
        <v>miércoles-10</v>
      </c>
      <c r="L209">
        <f t="shared" si="14"/>
        <v>2023</v>
      </c>
      <c r="M209" s="2" t="str">
        <f t="shared" si="15"/>
        <v>T4-2023</v>
      </c>
    </row>
    <row r="210" spans="1:13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 t="str">
        <f t="shared" si="12"/>
        <v>60+</v>
      </c>
      <c r="K210" t="str">
        <f t="shared" si="13"/>
        <v>miércoles-12</v>
      </c>
      <c r="L210">
        <f t="shared" si="14"/>
        <v>2023</v>
      </c>
      <c r="M210" s="2" t="str">
        <f t="shared" si="15"/>
        <v>T4-2023</v>
      </c>
    </row>
    <row r="211" spans="1:13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 t="str">
        <f t="shared" si="12"/>
        <v>60+</v>
      </c>
      <c r="K211" t="str">
        <f t="shared" si="13"/>
        <v>jueves-04</v>
      </c>
      <c r="L211">
        <f t="shared" si="14"/>
        <v>2023</v>
      </c>
      <c r="M211" s="2" t="str">
        <f t="shared" si="15"/>
        <v>T2-2023</v>
      </c>
    </row>
    <row r="212" spans="1:13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 t="str">
        <f t="shared" si="12"/>
        <v>60+</v>
      </c>
      <c r="K212" t="str">
        <f t="shared" si="13"/>
        <v>lunes-01</v>
      </c>
      <c r="L212">
        <f t="shared" si="14"/>
        <v>2024</v>
      </c>
      <c r="M212" s="2" t="str">
        <f t="shared" si="15"/>
        <v>T1-2024</v>
      </c>
    </row>
    <row r="213" spans="1:13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 t="str">
        <f t="shared" si="12"/>
        <v>60+</v>
      </c>
      <c r="K213" t="str">
        <f t="shared" si="13"/>
        <v>viernes-06</v>
      </c>
      <c r="L213">
        <f t="shared" si="14"/>
        <v>2023</v>
      </c>
      <c r="M213" s="2" t="str">
        <f t="shared" si="15"/>
        <v>T2-2023</v>
      </c>
    </row>
    <row r="214" spans="1:13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 t="str">
        <f t="shared" si="12"/>
        <v>60+</v>
      </c>
      <c r="K214" t="str">
        <f t="shared" si="13"/>
        <v>lunes-07</v>
      </c>
      <c r="L214">
        <f t="shared" si="14"/>
        <v>2023</v>
      </c>
      <c r="M214" s="2" t="str">
        <f t="shared" si="15"/>
        <v>T3-2023</v>
      </c>
    </row>
    <row r="215" spans="1:13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 t="str">
        <f t="shared" si="12"/>
        <v>60+</v>
      </c>
      <c r="K215" t="str">
        <f t="shared" si="13"/>
        <v>domingo-12</v>
      </c>
      <c r="L215">
        <f t="shared" si="14"/>
        <v>2023</v>
      </c>
      <c r="M215" s="2" t="str">
        <f t="shared" si="15"/>
        <v>T4-2023</v>
      </c>
    </row>
    <row r="216" spans="1:13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 t="str">
        <f t="shared" si="12"/>
        <v>60+</v>
      </c>
      <c r="K216" t="str">
        <f t="shared" si="13"/>
        <v>miércoles-11</v>
      </c>
      <c r="L216">
        <f t="shared" si="14"/>
        <v>2023</v>
      </c>
      <c r="M216" s="2" t="str">
        <f t="shared" si="15"/>
        <v>T4-2023</v>
      </c>
    </row>
    <row r="217" spans="1:13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 t="str">
        <f t="shared" si="12"/>
        <v>60+</v>
      </c>
      <c r="K217" t="str">
        <f t="shared" si="13"/>
        <v>martes-07</v>
      </c>
      <c r="L217">
        <f t="shared" si="14"/>
        <v>2023</v>
      </c>
      <c r="M217" s="2" t="str">
        <f t="shared" si="15"/>
        <v>T3-2023</v>
      </c>
    </row>
    <row r="218" spans="1:13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 t="str">
        <f t="shared" si="12"/>
        <v>60+</v>
      </c>
      <c r="K218" t="str">
        <f t="shared" si="13"/>
        <v>domingo-08</v>
      </c>
      <c r="L218">
        <f t="shared" si="14"/>
        <v>2023</v>
      </c>
      <c r="M218" s="2" t="str">
        <f t="shared" si="15"/>
        <v>T3-2023</v>
      </c>
    </row>
    <row r="219" spans="1:13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 t="str">
        <f t="shared" si="12"/>
        <v>60+</v>
      </c>
      <c r="K219" t="str">
        <f t="shared" si="13"/>
        <v>viernes-09</v>
      </c>
      <c r="L219">
        <f t="shared" si="14"/>
        <v>2023</v>
      </c>
      <c r="M219" s="2" t="str">
        <f t="shared" si="15"/>
        <v>T3-2023</v>
      </c>
    </row>
    <row r="220" spans="1:13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 t="str">
        <f t="shared" si="12"/>
        <v>60+</v>
      </c>
      <c r="K220" t="str">
        <f t="shared" si="13"/>
        <v>domingo-08</v>
      </c>
      <c r="L220">
        <f t="shared" si="14"/>
        <v>2023</v>
      </c>
      <c r="M220" s="2" t="str">
        <f t="shared" si="15"/>
        <v>T3-2023</v>
      </c>
    </row>
    <row r="221" spans="1:13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 t="str">
        <f t="shared" si="12"/>
        <v>60+</v>
      </c>
      <c r="K221" t="str">
        <f t="shared" si="13"/>
        <v>viernes-03</v>
      </c>
      <c r="L221">
        <f t="shared" si="14"/>
        <v>2023</v>
      </c>
      <c r="M221" s="2" t="str">
        <f t="shared" si="15"/>
        <v>T1-2023</v>
      </c>
    </row>
    <row r="222" spans="1:13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 t="str">
        <f t="shared" si="12"/>
        <v>60+</v>
      </c>
      <c r="K222" t="str">
        <f t="shared" si="13"/>
        <v>domingo-05</v>
      </c>
      <c r="L222">
        <f t="shared" si="14"/>
        <v>2023</v>
      </c>
      <c r="M222" s="2" t="str">
        <f t="shared" si="15"/>
        <v>T2-2023</v>
      </c>
    </row>
    <row r="223" spans="1:13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 t="str">
        <f t="shared" si="12"/>
        <v>60+</v>
      </c>
      <c r="K223" t="str">
        <f t="shared" si="13"/>
        <v>miércoles-04</v>
      </c>
      <c r="L223">
        <f t="shared" si="14"/>
        <v>2023</v>
      </c>
      <c r="M223" s="2" t="str">
        <f t="shared" si="15"/>
        <v>T2-2023</v>
      </c>
    </row>
    <row r="224" spans="1:13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 t="str">
        <f t="shared" si="12"/>
        <v>60+</v>
      </c>
      <c r="K224" t="str">
        <f t="shared" si="13"/>
        <v>jueves-02</v>
      </c>
      <c r="L224">
        <f t="shared" si="14"/>
        <v>2023</v>
      </c>
      <c r="M224" s="2" t="str">
        <f t="shared" si="15"/>
        <v>T1-2023</v>
      </c>
    </row>
    <row r="225" spans="1:13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 t="str">
        <f t="shared" si="12"/>
        <v>60+</v>
      </c>
      <c r="K225" t="str">
        <f t="shared" si="13"/>
        <v>viernes-06</v>
      </c>
      <c r="L225">
        <f t="shared" si="14"/>
        <v>2023</v>
      </c>
      <c r="M225" s="2" t="str">
        <f t="shared" si="15"/>
        <v>T2-2023</v>
      </c>
    </row>
    <row r="226" spans="1:13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 t="str">
        <f t="shared" si="12"/>
        <v>60+</v>
      </c>
      <c r="K226" t="str">
        <f t="shared" si="13"/>
        <v>miércoles-01</v>
      </c>
      <c r="L226">
        <f t="shared" si="14"/>
        <v>2023</v>
      </c>
      <c r="M226" s="2" t="str">
        <f t="shared" si="15"/>
        <v>T1-2023</v>
      </c>
    </row>
    <row r="227" spans="1:13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 t="str">
        <f t="shared" si="12"/>
        <v>60+</v>
      </c>
      <c r="K227" t="str">
        <f t="shared" si="13"/>
        <v>domingo-10</v>
      </c>
      <c r="L227">
        <f t="shared" si="14"/>
        <v>2023</v>
      </c>
      <c r="M227" s="2" t="str">
        <f t="shared" si="15"/>
        <v>T4-2023</v>
      </c>
    </row>
    <row r="228" spans="1:13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 t="str">
        <f t="shared" si="12"/>
        <v>60+</v>
      </c>
      <c r="K228" t="str">
        <f t="shared" si="13"/>
        <v>miércoles-10</v>
      </c>
      <c r="L228">
        <f t="shared" si="14"/>
        <v>2023</v>
      </c>
      <c r="M228" s="2" t="str">
        <f t="shared" si="15"/>
        <v>T4-2023</v>
      </c>
    </row>
    <row r="229" spans="1:13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 t="str">
        <f t="shared" si="12"/>
        <v>60+</v>
      </c>
      <c r="K229" t="str">
        <f t="shared" si="13"/>
        <v>viernes-04</v>
      </c>
      <c r="L229">
        <f t="shared" si="14"/>
        <v>2023</v>
      </c>
      <c r="M229" s="2" t="str">
        <f t="shared" si="15"/>
        <v>T2-2023</v>
      </c>
    </row>
    <row r="230" spans="1:13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 t="str">
        <f t="shared" si="12"/>
        <v>60+</v>
      </c>
      <c r="K230" t="str">
        <f t="shared" si="13"/>
        <v>domingo-10</v>
      </c>
      <c r="L230">
        <f t="shared" si="14"/>
        <v>2023</v>
      </c>
      <c r="M230" s="2" t="str">
        <f t="shared" si="15"/>
        <v>T4-2023</v>
      </c>
    </row>
    <row r="231" spans="1:13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 t="str">
        <f t="shared" si="12"/>
        <v>60+</v>
      </c>
      <c r="K231" t="str">
        <f t="shared" si="13"/>
        <v>domingo-04</v>
      </c>
      <c r="L231">
        <f t="shared" si="14"/>
        <v>2023</v>
      </c>
      <c r="M231" s="2" t="str">
        <f t="shared" si="15"/>
        <v>T2-2023</v>
      </c>
    </row>
    <row r="232" spans="1:13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 t="str">
        <f t="shared" si="12"/>
        <v>60+</v>
      </c>
      <c r="K232" t="str">
        <f t="shared" si="13"/>
        <v>miércoles-01</v>
      </c>
      <c r="L232">
        <f t="shared" si="14"/>
        <v>2023</v>
      </c>
      <c r="M232" s="2" t="str">
        <f t="shared" si="15"/>
        <v>T1-2023</v>
      </c>
    </row>
    <row r="233" spans="1:13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 t="str">
        <f t="shared" si="12"/>
        <v>60+</v>
      </c>
      <c r="K233" t="str">
        <f t="shared" si="13"/>
        <v>lunes-02</v>
      </c>
      <c r="L233">
        <f t="shared" si="14"/>
        <v>2023</v>
      </c>
      <c r="M233" s="2" t="str">
        <f t="shared" si="15"/>
        <v>T1-2023</v>
      </c>
    </row>
    <row r="234" spans="1:13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 t="str">
        <f t="shared" si="12"/>
        <v>60+</v>
      </c>
      <c r="K234" t="str">
        <f t="shared" si="13"/>
        <v>viernes-12</v>
      </c>
      <c r="L234">
        <f t="shared" si="14"/>
        <v>2023</v>
      </c>
      <c r="M234" s="2" t="str">
        <f t="shared" si="15"/>
        <v>T4-2023</v>
      </c>
    </row>
    <row r="235" spans="1:13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 t="str">
        <f t="shared" si="12"/>
        <v>60+</v>
      </c>
      <c r="K235" t="str">
        <f t="shared" si="13"/>
        <v>lunes-11</v>
      </c>
      <c r="L235">
        <f t="shared" si="14"/>
        <v>2023</v>
      </c>
      <c r="M235" s="2" t="str">
        <f t="shared" si="15"/>
        <v>T4-2023</v>
      </c>
    </row>
    <row r="236" spans="1:13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 t="str">
        <f t="shared" si="12"/>
        <v>60+</v>
      </c>
      <c r="K236" t="str">
        <f t="shared" si="13"/>
        <v>martes-01</v>
      </c>
      <c r="L236">
        <f t="shared" si="14"/>
        <v>2023</v>
      </c>
      <c r="M236" s="2" t="str">
        <f t="shared" si="15"/>
        <v>T1-2023</v>
      </c>
    </row>
    <row r="237" spans="1:13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 t="str">
        <f t="shared" si="12"/>
        <v>60+</v>
      </c>
      <c r="K237" t="str">
        <f t="shared" si="13"/>
        <v>viernes-04</v>
      </c>
      <c r="L237">
        <f t="shared" si="14"/>
        <v>2023</v>
      </c>
      <c r="M237" s="2" t="str">
        <f t="shared" si="15"/>
        <v>T2-2023</v>
      </c>
    </row>
    <row r="238" spans="1:13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 t="str">
        <f t="shared" si="12"/>
        <v>60+</v>
      </c>
      <c r="K238" t="str">
        <f t="shared" si="13"/>
        <v>sábado-02</v>
      </c>
      <c r="L238">
        <f t="shared" si="14"/>
        <v>2023</v>
      </c>
      <c r="M238" s="2" t="str">
        <f t="shared" si="15"/>
        <v>T1-2023</v>
      </c>
    </row>
    <row r="239" spans="1:13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 t="str">
        <f t="shared" si="12"/>
        <v>60+</v>
      </c>
      <c r="K239" t="str">
        <f t="shared" si="13"/>
        <v>martes-01</v>
      </c>
      <c r="L239">
        <f t="shared" si="14"/>
        <v>2023</v>
      </c>
      <c r="M239" s="2" t="str">
        <f t="shared" si="15"/>
        <v>T1-2023</v>
      </c>
    </row>
    <row r="240" spans="1:13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 t="str">
        <f t="shared" si="12"/>
        <v>60+</v>
      </c>
      <c r="K240" t="str">
        <f t="shared" si="13"/>
        <v>lunes-06</v>
      </c>
      <c r="L240">
        <f t="shared" si="14"/>
        <v>2023</v>
      </c>
      <c r="M240" s="2" t="str">
        <f t="shared" si="15"/>
        <v>T2-2023</v>
      </c>
    </row>
    <row r="241" spans="1:13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 t="str">
        <f t="shared" si="12"/>
        <v>60+</v>
      </c>
      <c r="K241" t="str">
        <f t="shared" si="13"/>
        <v>lunes-02</v>
      </c>
      <c r="L241">
        <f t="shared" si="14"/>
        <v>2023</v>
      </c>
      <c r="M241" s="2" t="str">
        <f t="shared" si="15"/>
        <v>T1-2023</v>
      </c>
    </row>
    <row r="242" spans="1:13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 t="str">
        <f t="shared" si="12"/>
        <v>60+</v>
      </c>
      <c r="K242" t="str">
        <f t="shared" si="13"/>
        <v>jueves-09</v>
      </c>
      <c r="L242">
        <f t="shared" si="14"/>
        <v>2023</v>
      </c>
      <c r="M242" s="2" t="str">
        <f t="shared" si="15"/>
        <v>T3-2023</v>
      </c>
    </row>
    <row r="243" spans="1:13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 t="str">
        <f t="shared" si="12"/>
        <v>60+</v>
      </c>
      <c r="K243" t="str">
        <f t="shared" si="13"/>
        <v>martes-05</v>
      </c>
      <c r="L243">
        <f t="shared" si="14"/>
        <v>2023</v>
      </c>
      <c r="M243" s="2" t="str">
        <f t="shared" si="15"/>
        <v>T2-2023</v>
      </c>
    </row>
    <row r="244" spans="1:13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 t="str">
        <f t="shared" si="12"/>
        <v>60+</v>
      </c>
      <c r="K244" t="str">
        <f t="shared" si="13"/>
        <v>martes-05</v>
      </c>
      <c r="L244">
        <f t="shared" si="14"/>
        <v>2023</v>
      </c>
      <c r="M244" s="2" t="str">
        <f t="shared" si="15"/>
        <v>T2-2023</v>
      </c>
    </row>
    <row r="245" spans="1:13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 t="str">
        <f t="shared" si="12"/>
        <v>60+</v>
      </c>
      <c r="K245" t="str">
        <f t="shared" si="13"/>
        <v>sábado-12</v>
      </c>
      <c r="L245">
        <f t="shared" si="14"/>
        <v>2023</v>
      </c>
      <c r="M245" s="2" t="str">
        <f t="shared" si="15"/>
        <v>T4-2023</v>
      </c>
    </row>
    <row r="246" spans="1:13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 t="str">
        <f t="shared" si="12"/>
        <v>60+</v>
      </c>
      <c r="K246" t="str">
        <f t="shared" si="13"/>
        <v>miércoles-09</v>
      </c>
      <c r="L246">
        <f t="shared" si="14"/>
        <v>2023</v>
      </c>
      <c r="M246" s="2" t="str">
        <f t="shared" si="15"/>
        <v>T3-2023</v>
      </c>
    </row>
    <row r="247" spans="1:13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 t="str">
        <f t="shared" si="12"/>
        <v>60+</v>
      </c>
      <c r="K247" t="str">
        <f t="shared" si="13"/>
        <v>jueves-04</v>
      </c>
      <c r="L247">
        <f t="shared" si="14"/>
        <v>2023</v>
      </c>
      <c r="M247" s="2" t="str">
        <f t="shared" si="15"/>
        <v>T2-2023</v>
      </c>
    </row>
    <row r="248" spans="1:13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 t="str">
        <f t="shared" si="12"/>
        <v>60+</v>
      </c>
      <c r="K248" t="str">
        <f t="shared" si="13"/>
        <v>miércoles-10</v>
      </c>
      <c r="L248">
        <f t="shared" si="14"/>
        <v>2023</v>
      </c>
      <c r="M248" s="2" t="str">
        <f t="shared" si="15"/>
        <v>T4-2023</v>
      </c>
    </row>
    <row r="249" spans="1:13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 t="str">
        <f t="shared" si="12"/>
        <v>60+</v>
      </c>
      <c r="K249" t="str">
        <f t="shared" si="13"/>
        <v>jueves-03</v>
      </c>
      <c r="L249">
        <f t="shared" si="14"/>
        <v>2023</v>
      </c>
      <c r="M249" s="2" t="str">
        <f t="shared" si="15"/>
        <v>T1-2023</v>
      </c>
    </row>
    <row r="250" spans="1:13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 t="str">
        <f t="shared" si="12"/>
        <v>60+</v>
      </c>
      <c r="K250" t="str">
        <f t="shared" si="13"/>
        <v>viernes-10</v>
      </c>
      <c r="L250">
        <f t="shared" si="14"/>
        <v>2023</v>
      </c>
      <c r="M250" s="2" t="str">
        <f t="shared" si="15"/>
        <v>T4-2023</v>
      </c>
    </row>
    <row r="251" spans="1:13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 t="str">
        <f t="shared" si="12"/>
        <v>60+</v>
      </c>
      <c r="K251" t="str">
        <f t="shared" si="13"/>
        <v>lunes-10</v>
      </c>
      <c r="L251">
        <f t="shared" si="14"/>
        <v>2023</v>
      </c>
      <c r="M251" s="2" t="str">
        <f t="shared" si="15"/>
        <v>T4-2023</v>
      </c>
    </row>
    <row r="252" spans="1:13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 t="str">
        <f t="shared" si="12"/>
        <v>60+</v>
      </c>
      <c r="K252" t="str">
        <f t="shared" si="13"/>
        <v>jueves-08</v>
      </c>
      <c r="L252">
        <f t="shared" si="14"/>
        <v>2023</v>
      </c>
      <c r="M252" s="2" t="str">
        <f t="shared" si="15"/>
        <v>T3-2023</v>
      </c>
    </row>
    <row r="253" spans="1:13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 t="str">
        <f t="shared" si="12"/>
        <v>60+</v>
      </c>
      <c r="K253" t="str">
        <f t="shared" si="13"/>
        <v>viernes-05</v>
      </c>
      <c r="L253">
        <f t="shared" si="14"/>
        <v>2023</v>
      </c>
      <c r="M253" s="2" t="str">
        <f t="shared" si="15"/>
        <v>T2-2023</v>
      </c>
    </row>
    <row r="254" spans="1:13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 t="str">
        <f t="shared" si="12"/>
        <v>60+</v>
      </c>
      <c r="K254" t="str">
        <f t="shared" si="13"/>
        <v>jueves-08</v>
      </c>
      <c r="L254">
        <f t="shared" si="14"/>
        <v>2023</v>
      </c>
      <c r="M254" s="2" t="str">
        <f t="shared" si="15"/>
        <v>T3-2023</v>
      </c>
    </row>
    <row r="255" spans="1:13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 t="str">
        <f t="shared" si="12"/>
        <v>60+</v>
      </c>
      <c r="K255" t="str">
        <f t="shared" si="13"/>
        <v>viernes-07</v>
      </c>
      <c r="L255">
        <f t="shared" si="14"/>
        <v>2023</v>
      </c>
      <c r="M255" s="2" t="str">
        <f t="shared" si="15"/>
        <v>T3-2023</v>
      </c>
    </row>
    <row r="256" spans="1:13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 t="str">
        <f t="shared" si="12"/>
        <v>60+</v>
      </c>
      <c r="K256" t="str">
        <f t="shared" si="13"/>
        <v>sábado-04</v>
      </c>
      <c r="L256">
        <f t="shared" si="14"/>
        <v>2023</v>
      </c>
      <c r="M256" s="2" t="str">
        <f t="shared" si="15"/>
        <v>T2-2023</v>
      </c>
    </row>
    <row r="257" spans="1:13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 t="str">
        <f t="shared" si="12"/>
        <v>60+</v>
      </c>
      <c r="K257" t="str">
        <f t="shared" si="13"/>
        <v>sábado-02</v>
      </c>
      <c r="L257">
        <f t="shared" si="14"/>
        <v>2023</v>
      </c>
      <c r="M257" s="2" t="str">
        <f t="shared" si="15"/>
        <v>T1-2023</v>
      </c>
    </row>
    <row r="258" spans="1:13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 t="str">
        <f t="shared" ref="J258:J321" si="16">IF(D258&lt;30,"18-29",IF(D258&lt;45,"30-44",IF(D258&lt;60,"45-59","60+")))</f>
        <v>60+</v>
      </c>
      <c r="K258" t="str">
        <f t="shared" ref="K258:K321" si="17">TEXT(B258,"AAAA-MM")</f>
        <v>domingo-02</v>
      </c>
      <c r="L258">
        <f t="shared" ref="L258:L321" si="18">YEAR(B258)</f>
        <v>2023</v>
      </c>
      <c r="M258" s="2" t="str">
        <f t="shared" ref="M258:M321" si="19">"T"&amp;INT((MONTH(B258)-1)/3+1)&amp;"-"&amp;YEAR(B258)</f>
        <v>T1-2023</v>
      </c>
    </row>
    <row r="259" spans="1:13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 t="str">
        <f t="shared" si="16"/>
        <v>60+</v>
      </c>
      <c r="K259" t="str">
        <f t="shared" si="17"/>
        <v>lunes-12</v>
      </c>
      <c r="L259">
        <f t="shared" si="18"/>
        <v>2023</v>
      </c>
      <c r="M259" s="2" t="str">
        <f t="shared" si="19"/>
        <v>T4-2023</v>
      </c>
    </row>
    <row r="260" spans="1:13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 t="str">
        <f t="shared" si="16"/>
        <v>60+</v>
      </c>
      <c r="K260" t="str">
        <f t="shared" si="17"/>
        <v>miércoles-08</v>
      </c>
      <c r="L260">
        <f t="shared" si="18"/>
        <v>2023</v>
      </c>
      <c r="M260" s="2" t="str">
        <f t="shared" si="19"/>
        <v>T3-2023</v>
      </c>
    </row>
    <row r="261" spans="1:13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 t="str">
        <f t="shared" si="16"/>
        <v>60+</v>
      </c>
      <c r="K261" t="str">
        <f t="shared" si="17"/>
        <v>sábado-07</v>
      </c>
      <c r="L261">
        <f t="shared" si="18"/>
        <v>2023</v>
      </c>
      <c r="M261" s="2" t="str">
        <f t="shared" si="19"/>
        <v>T3-2023</v>
      </c>
    </row>
    <row r="262" spans="1:13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 t="str">
        <f t="shared" si="16"/>
        <v>60+</v>
      </c>
      <c r="K262" t="str">
        <f t="shared" si="17"/>
        <v>sábado-08</v>
      </c>
      <c r="L262">
        <f t="shared" si="18"/>
        <v>2023</v>
      </c>
      <c r="M262" s="2" t="str">
        <f t="shared" si="19"/>
        <v>T3-2023</v>
      </c>
    </row>
    <row r="263" spans="1:13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 t="str">
        <f t="shared" si="16"/>
        <v>60+</v>
      </c>
      <c r="K263" t="str">
        <f t="shared" si="17"/>
        <v>domingo-07</v>
      </c>
      <c r="L263">
        <f t="shared" si="18"/>
        <v>2023</v>
      </c>
      <c r="M263" s="2" t="str">
        <f t="shared" si="19"/>
        <v>T3-2023</v>
      </c>
    </row>
    <row r="264" spans="1:13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 t="str">
        <f t="shared" si="16"/>
        <v>60+</v>
      </c>
      <c r="K264" t="str">
        <f t="shared" si="17"/>
        <v>lunes-08</v>
      </c>
      <c r="L264">
        <f t="shared" si="18"/>
        <v>2023</v>
      </c>
      <c r="M264" s="2" t="str">
        <f t="shared" si="19"/>
        <v>T3-2023</v>
      </c>
    </row>
    <row r="265" spans="1:13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 t="str">
        <f t="shared" si="16"/>
        <v>60+</v>
      </c>
      <c r="K265" t="str">
        <f t="shared" si="17"/>
        <v>sábado-01</v>
      </c>
      <c r="L265">
        <f t="shared" si="18"/>
        <v>2023</v>
      </c>
      <c r="M265" s="2" t="str">
        <f t="shared" si="19"/>
        <v>T1-2023</v>
      </c>
    </row>
    <row r="266" spans="1:13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 t="str">
        <f t="shared" si="16"/>
        <v>60+</v>
      </c>
      <c r="K266" t="str">
        <f t="shared" si="17"/>
        <v>lunes-12</v>
      </c>
      <c r="L266">
        <f t="shared" si="18"/>
        <v>2023</v>
      </c>
      <c r="M266" s="2" t="str">
        <f t="shared" si="19"/>
        <v>T4-2023</v>
      </c>
    </row>
    <row r="267" spans="1:13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 t="str">
        <f t="shared" si="16"/>
        <v>60+</v>
      </c>
      <c r="K267" t="str">
        <f t="shared" si="17"/>
        <v>viernes-12</v>
      </c>
      <c r="L267">
        <f t="shared" si="18"/>
        <v>2023</v>
      </c>
      <c r="M267" s="2" t="str">
        <f t="shared" si="19"/>
        <v>T4-2023</v>
      </c>
    </row>
    <row r="268" spans="1:13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 t="str">
        <f t="shared" si="16"/>
        <v>60+</v>
      </c>
      <c r="K268" t="str">
        <f t="shared" si="17"/>
        <v>lunes-11</v>
      </c>
      <c r="L268">
        <f t="shared" si="18"/>
        <v>2023</v>
      </c>
      <c r="M268" s="2" t="str">
        <f t="shared" si="19"/>
        <v>T4-2023</v>
      </c>
    </row>
    <row r="269" spans="1:13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 t="str">
        <f t="shared" si="16"/>
        <v>60+</v>
      </c>
      <c r="K269" t="str">
        <f t="shared" si="17"/>
        <v>lunes-02</v>
      </c>
      <c r="L269">
        <f t="shared" si="18"/>
        <v>2023</v>
      </c>
      <c r="M269" s="2" t="str">
        <f t="shared" si="19"/>
        <v>T1-2023</v>
      </c>
    </row>
    <row r="270" spans="1:13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 t="str">
        <f t="shared" si="16"/>
        <v>60+</v>
      </c>
      <c r="K270" t="str">
        <f t="shared" si="17"/>
        <v>miércoles-02</v>
      </c>
      <c r="L270">
        <f t="shared" si="18"/>
        <v>2023</v>
      </c>
      <c r="M270" s="2" t="str">
        <f t="shared" si="19"/>
        <v>T1-2023</v>
      </c>
    </row>
    <row r="271" spans="1:13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 t="str">
        <f t="shared" si="16"/>
        <v>60+</v>
      </c>
      <c r="K271" t="str">
        <f t="shared" si="17"/>
        <v>miércoles-07</v>
      </c>
      <c r="L271">
        <f t="shared" si="18"/>
        <v>2023</v>
      </c>
      <c r="M271" s="2" t="str">
        <f t="shared" si="19"/>
        <v>T3-2023</v>
      </c>
    </row>
    <row r="272" spans="1:13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 t="str">
        <f t="shared" si="16"/>
        <v>60+</v>
      </c>
      <c r="K272" t="str">
        <f t="shared" si="17"/>
        <v>viernes-06</v>
      </c>
      <c r="L272">
        <f t="shared" si="18"/>
        <v>2023</v>
      </c>
      <c r="M272" s="2" t="str">
        <f t="shared" si="19"/>
        <v>T2-2023</v>
      </c>
    </row>
    <row r="273" spans="1:13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 t="str">
        <f t="shared" si="16"/>
        <v>60+</v>
      </c>
      <c r="K273" t="str">
        <f t="shared" si="17"/>
        <v>sábado-02</v>
      </c>
      <c r="L273">
        <f t="shared" si="18"/>
        <v>2023</v>
      </c>
      <c r="M273" s="2" t="str">
        <f t="shared" si="19"/>
        <v>T1-2023</v>
      </c>
    </row>
    <row r="274" spans="1:13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 t="str">
        <f t="shared" si="16"/>
        <v>60+</v>
      </c>
      <c r="K274" t="str">
        <f t="shared" si="17"/>
        <v>lunes-05</v>
      </c>
      <c r="L274">
        <f t="shared" si="18"/>
        <v>2023</v>
      </c>
      <c r="M274" s="2" t="str">
        <f t="shared" si="19"/>
        <v>T2-2023</v>
      </c>
    </row>
    <row r="275" spans="1:13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 t="str">
        <f t="shared" si="16"/>
        <v>60+</v>
      </c>
      <c r="K275" t="str">
        <f t="shared" si="17"/>
        <v>domingo-04</v>
      </c>
      <c r="L275">
        <f t="shared" si="18"/>
        <v>2023</v>
      </c>
      <c r="M275" s="2" t="str">
        <f t="shared" si="19"/>
        <v>T2-2023</v>
      </c>
    </row>
    <row r="276" spans="1:13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 t="str">
        <f t="shared" si="16"/>
        <v>60+</v>
      </c>
      <c r="K276" t="str">
        <f t="shared" si="17"/>
        <v>sábado-04</v>
      </c>
      <c r="L276">
        <f t="shared" si="18"/>
        <v>2023</v>
      </c>
      <c r="M276" s="2" t="str">
        <f t="shared" si="19"/>
        <v>T2-2023</v>
      </c>
    </row>
    <row r="277" spans="1:13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 t="str">
        <f t="shared" si="16"/>
        <v>60+</v>
      </c>
      <c r="K277" t="str">
        <f t="shared" si="17"/>
        <v>lunes-10</v>
      </c>
      <c r="L277">
        <f t="shared" si="18"/>
        <v>2023</v>
      </c>
      <c r="M277" s="2" t="str">
        <f t="shared" si="19"/>
        <v>T4-2023</v>
      </c>
    </row>
    <row r="278" spans="1:13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 t="str">
        <f t="shared" si="16"/>
        <v>60+</v>
      </c>
      <c r="K278" t="str">
        <f t="shared" si="17"/>
        <v>viernes-08</v>
      </c>
      <c r="L278">
        <f t="shared" si="18"/>
        <v>2023</v>
      </c>
      <c r="M278" s="2" t="str">
        <f t="shared" si="19"/>
        <v>T3-2023</v>
      </c>
    </row>
    <row r="279" spans="1:13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 t="str">
        <f t="shared" si="16"/>
        <v>60+</v>
      </c>
      <c r="K279" t="str">
        <f t="shared" si="17"/>
        <v>lunes-03</v>
      </c>
      <c r="L279">
        <f t="shared" si="18"/>
        <v>2023</v>
      </c>
      <c r="M279" s="2" t="str">
        <f t="shared" si="19"/>
        <v>T1-2023</v>
      </c>
    </row>
    <row r="280" spans="1:13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 t="str">
        <f t="shared" si="16"/>
        <v>60+</v>
      </c>
      <c r="K280" t="str">
        <f t="shared" si="17"/>
        <v>sábado-08</v>
      </c>
      <c r="L280">
        <f t="shared" si="18"/>
        <v>2023</v>
      </c>
      <c r="M280" s="2" t="str">
        <f t="shared" si="19"/>
        <v>T3-2023</v>
      </c>
    </row>
    <row r="281" spans="1:13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 t="str">
        <f t="shared" si="16"/>
        <v>60+</v>
      </c>
      <c r="K281" t="str">
        <f t="shared" si="17"/>
        <v>martes-04</v>
      </c>
      <c r="L281">
        <f t="shared" si="18"/>
        <v>2023</v>
      </c>
      <c r="M281" s="2" t="str">
        <f t="shared" si="19"/>
        <v>T2-2023</v>
      </c>
    </row>
    <row r="282" spans="1:13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 t="str">
        <f t="shared" si="16"/>
        <v>60+</v>
      </c>
      <c r="K282" t="str">
        <f t="shared" si="17"/>
        <v>martes-05</v>
      </c>
      <c r="L282">
        <f t="shared" si="18"/>
        <v>2023</v>
      </c>
      <c r="M282" s="2" t="str">
        <f t="shared" si="19"/>
        <v>T2-2023</v>
      </c>
    </row>
    <row r="283" spans="1:13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 t="str">
        <f t="shared" si="16"/>
        <v>60+</v>
      </c>
      <c r="K283" t="str">
        <f t="shared" si="17"/>
        <v>viernes-08</v>
      </c>
      <c r="L283">
        <f t="shared" si="18"/>
        <v>2023</v>
      </c>
      <c r="M283" s="2" t="str">
        <f t="shared" si="19"/>
        <v>T3-2023</v>
      </c>
    </row>
    <row r="284" spans="1:13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 t="str">
        <f t="shared" si="16"/>
        <v>60+</v>
      </c>
      <c r="K284" t="str">
        <f t="shared" si="17"/>
        <v>lunes-05</v>
      </c>
      <c r="L284">
        <f t="shared" si="18"/>
        <v>2023</v>
      </c>
      <c r="M284" s="2" t="str">
        <f t="shared" si="19"/>
        <v>T2-2023</v>
      </c>
    </row>
    <row r="285" spans="1:13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 t="str">
        <f t="shared" si="16"/>
        <v>60+</v>
      </c>
      <c r="K285" t="str">
        <f t="shared" si="17"/>
        <v>miércoles-02</v>
      </c>
      <c r="L285">
        <f t="shared" si="18"/>
        <v>2023</v>
      </c>
      <c r="M285" s="2" t="str">
        <f t="shared" si="19"/>
        <v>T1-2023</v>
      </c>
    </row>
    <row r="286" spans="1:13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 t="str">
        <f t="shared" si="16"/>
        <v>60+</v>
      </c>
      <c r="K286" t="str">
        <f t="shared" si="17"/>
        <v>martes-08</v>
      </c>
      <c r="L286">
        <f t="shared" si="18"/>
        <v>2023</v>
      </c>
      <c r="M286" s="2" t="str">
        <f t="shared" si="19"/>
        <v>T3-2023</v>
      </c>
    </row>
    <row r="287" spans="1:13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 t="str">
        <f t="shared" si="16"/>
        <v>60+</v>
      </c>
      <c r="K287" t="str">
        <f t="shared" si="17"/>
        <v>lunes-10</v>
      </c>
      <c r="L287">
        <f t="shared" si="18"/>
        <v>2023</v>
      </c>
      <c r="M287" s="2" t="str">
        <f t="shared" si="19"/>
        <v>T4-2023</v>
      </c>
    </row>
    <row r="288" spans="1:13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 t="str">
        <f t="shared" si="16"/>
        <v>60+</v>
      </c>
      <c r="K288" t="str">
        <f t="shared" si="17"/>
        <v>lunes-02</v>
      </c>
      <c r="L288">
        <f t="shared" si="18"/>
        <v>2023</v>
      </c>
      <c r="M288" s="2" t="str">
        <f t="shared" si="19"/>
        <v>T1-2023</v>
      </c>
    </row>
    <row r="289" spans="1:13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 t="str">
        <f t="shared" si="16"/>
        <v>60+</v>
      </c>
      <c r="K289" t="str">
        <f t="shared" si="17"/>
        <v>jueves-01</v>
      </c>
      <c r="L289">
        <f t="shared" si="18"/>
        <v>2023</v>
      </c>
      <c r="M289" s="2" t="str">
        <f t="shared" si="19"/>
        <v>T1-2023</v>
      </c>
    </row>
    <row r="290" spans="1:13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 t="str">
        <f t="shared" si="16"/>
        <v>60+</v>
      </c>
      <c r="K290" t="str">
        <f t="shared" si="17"/>
        <v>jueves-11</v>
      </c>
      <c r="L290">
        <f t="shared" si="18"/>
        <v>2023</v>
      </c>
      <c r="M290" s="2" t="str">
        <f t="shared" si="19"/>
        <v>T4-2023</v>
      </c>
    </row>
    <row r="291" spans="1:13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 t="str">
        <f t="shared" si="16"/>
        <v>60+</v>
      </c>
      <c r="K291" t="str">
        <f t="shared" si="17"/>
        <v>miércoles-10</v>
      </c>
      <c r="L291">
        <f t="shared" si="18"/>
        <v>2023</v>
      </c>
      <c r="M291" s="2" t="str">
        <f t="shared" si="19"/>
        <v>T4-2023</v>
      </c>
    </row>
    <row r="292" spans="1:13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 t="str">
        <f t="shared" si="16"/>
        <v>60+</v>
      </c>
      <c r="K292" t="str">
        <f t="shared" si="17"/>
        <v>domingo-01</v>
      </c>
      <c r="L292">
        <f t="shared" si="18"/>
        <v>2023</v>
      </c>
      <c r="M292" s="2" t="str">
        <f t="shared" si="19"/>
        <v>T1-2023</v>
      </c>
    </row>
    <row r="293" spans="1:13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 t="str">
        <f t="shared" si="16"/>
        <v>60+</v>
      </c>
      <c r="K293" t="str">
        <f t="shared" si="17"/>
        <v>viernes-02</v>
      </c>
      <c r="L293">
        <f t="shared" si="18"/>
        <v>2023</v>
      </c>
      <c r="M293" s="2" t="str">
        <f t="shared" si="19"/>
        <v>T1-2023</v>
      </c>
    </row>
    <row r="294" spans="1:13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 t="str">
        <f t="shared" si="16"/>
        <v>60+</v>
      </c>
      <c r="K294" t="str">
        <f t="shared" si="17"/>
        <v>martes-05</v>
      </c>
      <c r="L294">
        <f t="shared" si="18"/>
        <v>2023</v>
      </c>
      <c r="M294" s="2" t="str">
        <f t="shared" si="19"/>
        <v>T2-2023</v>
      </c>
    </row>
    <row r="295" spans="1:13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 t="str">
        <f t="shared" si="16"/>
        <v>60+</v>
      </c>
      <c r="K295" t="str">
        <f t="shared" si="17"/>
        <v>lunes-03</v>
      </c>
      <c r="L295">
        <f t="shared" si="18"/>
        <v>2023</v>
      </c>
      <c r="M295" s="2" t="str">
        <f t="shared" si="19"/>
        <v>T1-2023</v>
      </c>
    </row>
    <row r="296" spans="1:13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 t="str">
        <f t="shared" si="16"/>
        <v>60+</v>
      </c>
      <c r="K296" t="str">
        <f t="shared" si="17"/>
        <v>viernes-07</v>
      </c>
      <c r="L296">
        <f t="shared" si="18"/>
        <v>2023</v>
      </c>
      <c r="M296" s="2" t="str">
        <f t="shared" si="19"/>
        <v>T3-2023</v>
      </c>
    </row>
    <row r="297" spans="1:13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 t="str">
        <f t="shared" si="16"/>
        <v>60+</v>
      </c>
      <c r="K297" t="str">
        <f t="shared" si="17"/>
        <v>miércoles-09</v>
      </c>
      <c r="L297">
        <f t="shared" si="18"/>
        <v>2023</v>
      </c>
      <c r="M297" s="2" t="str">
        <f t="shared" si="19"/>
        <v>T3-2023</v>
      </c>
    </row>
    <row r="298" spans="1:13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 t="str">
        <f t="shared" si="16"/>
        <v>60+</v>
      </c>
      <c r="K298" t="str">
        <f t="shared" si="17"/>
        <v>lunes-09</v>
      </c>
      <c r="L298">
        <f t="shared" si="18"/>
        <v>2023</v>
      </c>
      <c r="M298" s="2" t="str">
        <f t="shared" si="19"/>
        <v>T3-2023</v>
      </c>
    </row>
    <row r="299" spans="1:13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 t="str">
        <f t="shared" si="16"/>
        <v>60+</v>
      </c>
      <c r="K299" t="str">
        <f t="shared" si="17"/>
        <v>jueves-04</v>
      </c>
      <c r="L299">
        <f t="shared" si="18"/>
        <v>2023</v>
      </c>
      <c r="M299" s="2" t="str">
        <f t="shared" si="19"/>
        <v>T2-2023</v>
      </c>
    </row>
    <row r="300" spans="1:13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 t="str">
        <f t="shared" si="16"/>
        <v>60+</v>
      </c>
      <c r="K300" t="str">
        <f t="shared" si="17"/>
        <v>martes-07</v>
      </c>
      <c r="L300">
        <f t="shared" si="18"/>
        <v>2023</v>
      </c>
      <c r="M300" s="2" t="str">
        <f t="shared" si="19"/>
        <v>T3-2023</v>
      </c>
    </row>
    <row r="301" spans="1:13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 t="str">
        <f t="shared" si="16"/>
        <v>60+</v>
      </c>
      <c r="K301" t="str">
        <f t="shared" si="17"/>
        <v>martes-01</v>
      </c>
      <c r="L301">
        <f t="shared" si="18"/>
        <v>2023</v>
      </c>
      <c r="M301" s="2" t="str">
        <f t="shared" si="19"/>
        <v>T1-2023</v>
      </c>
    </row>
    <row r="302" spans="1:13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 t="str">
        <f t="shared" si="16"/>
        <v>60+</v>
      </c>
      <c r="K302" t="str">
        <f t="shared" si="17"/>
        <v>domingo-03</v>
      </c>
      <c r="L302">
        <f t="shared" si="18"/>
        <v>2023</v>
      </c>
      <c r="M302" s="2" t="str">
        <f t="shared" si="19"/>
        <v>T1-2023</v>
      </c>
    </row>
    <row r="303" spans="1:13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 t="str">
        <f t="shared" si="16"/>
        <v>60+</v>
      </c>
      <c r="K303" t="str">
        <f t="shared" si="17"/>
        <v>viernes-07</v>
      </c>
      <c r="L303">
        <f t="shared" si="18"/>
        <v>2023</v>
      </c>
      <c r="M303" s="2" t="str">
        <f t="shared" si="19"/>
        <v>T3-2023</v>
      </c>
    </row>
    <row r="304" spans="1:13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 t="str">
        <f t="shared" si="16"/>
        <v>60+</v>
      </c>
      <c r="K304" t="str">
        <f t="shared" si="17"/>
        <v>lunes-01</v>
      </c>
      <c r="L304">
        <f t="shared" si="18"/>
        <v>2023</v>
      </c>
      <c r="M304" s="2" t="str">
        <f t="shared" si="19"/>
        <v>T1-2023</v>
      </c>
    </row>
    <row r="305" spans="1:13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 t="str">
        <f t="shared" si="16"/>
        <v>60+</v>
      </c>
      <c r="K305" t="str">
        <f t="shared" si="17"/>
        <v>miércoles-07</v>
      </c>
      <c r="L305">
        <f t="shared" si="18"/>
        <v>2023</v>
      </c>
      <c r="M305" s="2" t="str">
        <f t="shared" si="19"/>
        <v>T3-2023</v>
      </c>
    </row>
    <row r="306" spans="1:13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 t="str">
        <f t="shared" si="16"/>
        <v>60+</v>
      </c>
      <c r="K306" t="str">
        <f t="shared" si="17"/>
        <v>martes-05</v>
      </c>
      <c r="L306">
        <f t="shared" si="18"/>
        <v>2023</v>
      </c>
      <c r="M306" s="2" t="str">
        <f t="shared" si="19"/>
        <v>T2-2023</v>
      </c>
    </row>
    <row r="307" spans="1:13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 t="str">
        <f t="shared" si="16"/>
        <v>60+</v>
      </c>
      <c r="K307" t="str">
        <f t="shared" si="17"/>
        <v>lunes-08</v>
      </c>
      <c r="L307">
        <f t="shared" si="18"/>
        <v>2023</v>
      </c>
      <c r="M307" s="2" t="str">
        <f t="shared" si="19"/>
        <v>T3-2023</v>
      </c>
    </row>
    <row r="308" spans="1:13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 t="str">
        <f t="shared" si="16"/>
        <v>60+</v>
      </c>
      <c r="K308" t="str">
        <f t="shared" si="17"/>
        <v>sábado-05</v>
      </c>
      <c r="L308">
        <f t="shared" si="18"/>
        <v>2023</v>
      </c>
      <c r="M308" s="2" t="str">
        <f t="shared" si="19"/>
        <v>T2-2023</v>
      </c>
    </row>
    <row r="309" spans="1:13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 t="str">
        <f t="shared" si="16"/>
        <v>60+</v>
      </c>
      <c r="K309" t="str">
        <f t="shared" si="17"/>
        <v>sábado-08</v>
      </c>
      <c r="L309">
        <f t="shared" si="18"/>
        <v>2023</v>
      </c>
      <c r="M309" s="2" t="str">
        <f t="shared" si="19"/>
        <v>T3-2023</v>
      </c>
    </row>
    <row r="310" spans="1:13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 t="str">
        <f t="shared" si="16"/>
        <v>60+</v>
      </c>
      <c r="K310" t="str">
        <f t="shared" si="17"/>
        <v>sábado-12</v>
      </c>
      <c r="L310">
        <f t="shared" si="18"/>
        <v>2023</v>
      </c>
      <c r="M310" s="2" t="str">
        <f t="shared" si="19"/>
        <v>T4-2023</v>
      </c>
    </row>
    <row r="311" spans="1:13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 t="str">
        <f t="shared" si="16"/>
        <v>60+</v>
      </c>
      <c r="K311" t="str">
        <f t="shared" si="17"/>
        <v>jueves-10</v>
      </c>
      <c r="L311">
        <f t="shared" si="18"/>
        <v>2023</v>
      </c>
      <c r="M311" s="2" t="str">
        <f t="shared" si="19"/>
        <v>T4-2023</v>
      </c>
    </row>
    <row r="312" spans="1:13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 t="str">
        <f t="shared" si="16"/>
        <v>60+</v>
      </c>
      <c r="K312" t="str">
        <f t="shared" si="17"/>
        <v>martes-12</v>
      </c>
      <c r="L312">
        <f t="shared" si="18"/>
        <v>2023</v>
      </c>
      <c r="M312" s="2" t="str">
        <f t="shared" si="19"/>
        <v>T4-2023</v>
      </c>
    </row>
    <row r="313" spans="1:13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 t="str">
        <f t="shared" si="16"/>
        <v>60+</v>
      </c>
      <c r="K313" t="str">
        <f t="shared" si="17"/>
        <v>jueves-09</v>
      </c>
      <c r="L313">
        <f t="shared" si="18"/>
        <v>2023</v>
      </c>
      <c r="M313" s="2" t="str">
        <f t="shared" si="19"/>
        <v>T3-2023</v>
      </c>
    </row>
    <row r="314" spans="1:13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 t="str">
        <f t="shared" si="16"/>
        <v>60+</v>
      </c>
      <c r="K314" t="str">
        <f t="shared" si="17"/>
        <v>martes-03</v>
      </c>
      <c r="L314">
        <f t="shared" si="18"/>
        <v>2023</v>
      </c>
      <c r="M314" s="2" t="str">
        <f t="shared" si="19"/>
        <v>T1-2023</v>
      </c>
    </row>
    <row r="315" spans="1:13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 t="str">
        <f t="shared" si="16"/>
        <v>60+</v>
      </c>
      <c r="K315" t="str">
        <f t="shared" si="17"/>
        <v>sábado-04</v>
      </c>
      <c r="L315">
        <f t="shared" si="18"/>
        <v>2023</v>
      </c>
      <c r="M315" s="2" t="str">
        <f t="shared" si="19"/>
        <v>T2-2023</v>
      </c>
    </row>
    <row r="316" spans="1:13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 t="str">
        <f t="shared" si="16"/>
        <v>60+</v>
      </c>
      <c r="K316" t="str">
        <f t="shared" si="17"/>
        <v>jueves-06</v>
      </c>
      <c r="L316">
        <f t="shared" si="18"/>
        <v>2023</v>
      </c>
      <c r="M316" s="2" t="str">
        <f t="shared" si="19"/>
        <v>T2-2023</v>
      </c>
    </row>
    <row r="317" spans="1:13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 t="str">
        <f t="shared" si="16"/>
        <v>60+</v>
      </c>
      <c r="K317" t="str">
        <f t="shared" si="17"/>
        <v>sábado-04</v>
      </c>
      <c r="L317">
        <f t="shared" si="18"/>
        <v>2023</v>
      </c>
      <c r="M317" s="2" t="str">
        <f t="shared" si="19"/>
        <v>T2-2023</v>
      </c>
    </row>
    <row r="318" spans="1:13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 t="str">
        <f t="shared" si="16"/>
        <v>60+</v>
      </c>
      <c r="K318" t="str">
        <f t="shared" si="17"/>
        <v>lunes-01</v>
      </c>
      <c r="L318">
        <f t="shared" si="18"/>
        <v>2023</v>
      </c>
      <c r="M318" s="2" t="str">
        <f t="shared" si="19"/>
        <v>T1-2023</v>
      </c>
    </row>
    <row r="319" spans="1:13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 t="str">
        <f t="shared" si="16"/>
        <v>60+</v>
      </c>
      <c r="K319" t="str">
        <f t="shared" si="17"/>
        <v>martes-10</v>
      </c>
      <c r="L319">
        <f t="shared" si="18"/>
        <v>2023</v>
      </c>
      <c r="M319" s="2" t="str">
        <f t="shared" si="19"/>
        <v>T4-2023</v>
      </c>
    </row>
    <row r="320" spans="1:13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 t="str">
        <f t="shared" si="16"/>
        <v>60+</v>
      </c>
      <c r="K320" t="str">
        <f t="shared" si="17"/>
        <v>jueves-10</v>
      </c>
      <c r="L320">
        <f t="shared" si="18"/>
        <v>2023</v>
      </c>
      <c r="M320" s="2" t="str">
        <f t="shared" si="19"/>
        <v>T4-2023</v>
      </c>
    </row>
    <row r="321" spans="1:13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 t="str">
        <f t="shared" si="16"/>
        <v>60+</v>
      </c>
      <c r="K321" t="str">
        <f t="shared" si="17"/>
        <v>miércoles-02</v>
      </c>
      <c r="L321">
        <f t="shared" si="18"/>
        <v>2023</v>
      </c>
      <c r="M321" s="2" t="str">
        <f t="shared" si="19"/>
        <v>T1-2023</v>
      </c>
    </row>
    <row r="322" spans="1:13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 t="str">
        <f t="shared" ref="J322:J385" si="20">IF(D322&lt;30,"18-29",IF(D322&lt;45,"30-44",IF(D322&lt;60,"45-59","60+")))</f>
        <v>60+</v>
      </c>
      <c r="K322" t="str">
        <f t="shared" ref="K322:K385" si="21">TEXT(B322,"AAAA-MM")</f>
        <v>sábado-06</v>
      </c>
      <c r="L322">
        <f t="shared" ref="L322:L385" si="22">YEAR(B322)</f>
        <v>2023</v>
      </c>
      <c r="M322" s="2" t="str">
        <f t="shared" ref="M322:M385" si="23">"T"&amp;INT((MONTH(B322)-1)/3+1)&amp;"-"&amp;YEAR(B322)</f>
        <v>T2-2023</v>
      </c>
    </row>
    <row r="323" spans="1:13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 t="str">
        <f t="shared" si="20"/>
        <v>60+</v>
      </c>
      <c r="K323" t="str">
        <f t="shared" si="21"/>
        <v>lunes-01</v>
      </c>
      <c r="L323">
        <f t="shared" si="22"/>
        <v>2023</v>
      </c>
      <c r="M323" s="2" t="str">
        <f t="shared" si="23"/>
        <v>T1-2023</v>
      </c>
    </row>
    <row r="324" spans="1:13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 t="str">
        <f t="shared" si="20"/>
        <v>60+</v>
      </c>
      <c r="K324" t="str">
        <f t="shared" si="21"/>
        <v>jueves-01</v>
      </c>
      <c r="L324">
        <f t="shared" si="22"/>
        <v>2023</v>
      </c>
      <c r="M324" s="2" t="str">
        <f t="shared" si="23"/>
        <v>T1-2023</v>
      </c>
    </row>
    <row r="325" spans="1:13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 t="str">
        <f t="shared" si="20"/>
        <v>60+</v>
      </c>
      <c r="K325" t="str">
        <f t="shared" si="21"/>
        <v>viernes-10</v>
      </c>
      <c r="L325">
        <f t="shared" si="22"/>
        <v>2023</v>
      </c>
      <c r="M325" s="2" t="str">
        <f t="shared" si="23"/>
        <v>T4-2023</v>
      </c>
    </row>
    <row r="326" spans="1:13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 t="str">
        <f t="shared" si="20"/>
        <v>60+</v>
      </c>
      <c r="K326" t="str">
        <f t="shared" si="21"/>
        <v>sábado-09</v>
      </c>
      <c r="L326">
        <f t="shared" si="22"/>
        <v>2023</v>
      </c>
      <c r="M326" s="2" t="str">
        <f t="shared" si="23"/>
        <v>T3-2023</v>
      </c>
    </row>
    <row r="327" spans="1:13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 t="str">
        <f t="shared" si="20"/>
        <v>60+</v>
      </c>
      <c r="K327" t="str">
        <f t="shared" si="21"/>
        <v>viernes-09</v>
      </c>
      <c r="L327">
        <f t="shared" si="22"/>
        <v>2023</v>
      </c>
      <c r="M327" s="2" t="str">
        <f t="shared" si="23"/>
        <v>T3-2023</v>
      </c>
    </row>
    <row r="328" spans="1:13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 t="str">
        <f t="shared" si="20"/>
        <v>60+</v>
      </c>
      <c r="K328" t="str">
        <f t="shared" si="21"/>
        <v>viernes-09</v>
      </c>
      <c r="L328">
        <f t="shared" si="22"/>
        <v>2023</v>
      </c>
      <c r="M328" s="2" t="str">
        <f t="shared" si="23"/>
        <v>T3-2023</v>
      </c>
    </row>
    <row r="329" spans="1:13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 t="str">
        <f t="shared" si="20"/>
        <v>60+</v>
      </c>
      <c r="K329" t="str">
        <f t="shared" si="21"/>
        <v>miércoles-03</v>
      </c>
      <c r="L329">
        <f t="shared" si="22"/>
        <v>2023</v>
      </c>
      <c r="M329" s="2" t="str">
        <f t="shared" si="23"/>
        <v>T1-2023</v>
      </c>
    </row>
    <row r="330" spans="1:13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 t="str">
        <f t="shared" si="20"/>
        <v>60+</v>
      </c>
      <c r="K330" t="str">
        <f t="shared" si="21"/>
        <v>lunes-01</v>
      </c>
      <c r="L330">
        <f t="shared" si="22"/>
        <v>2023</v>
      </c>
      <c r="M330" s="2" t="str">
        <f t="shared" si="23"/>
        <v>T1-2023</v>
      </c>
    </row>
    <row r="331" spans="1:13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 t="str">
        <f t="shared" si="20"/>
        <v>60+</v>
      </c>
      <c r="K331" t="str">
        <f t="shared" si="21"/>
        <v>lunes-09</v>
      </c>
      <c r="L331">
        <f t="shared" si="22"/>
        <v>2023</v>
      </c>
      <c r="M331" s="2" t="str">
        <f t="shared" si="23"/>
        <v>T3-2023</v>
      </c>
    </row>
    <row r="332" spans="1:13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 t="str">
        <f t="shared" si="20"/>
        <v>60+</v>
      </c>
      <c r="K332" t="str">
        <f t="shared" si="21"/>
        <v>sábado-02</v>
      </c>
      <c r="L332">
        <f t="shared" si="22"/>
        <v>2023</v>
      </c>
      <c r="M332" s="2" t="str">
        <f t="shared" si="23"/>
        <v>T1-2023</v>
      </c>
    </row>
    <row r="333" spans="1:13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 t="str">
        <f t="shared" si="20"/>
        <v>60+</v>
      </c>
      <c r="K333" t="str">
        <f t="shared" si="21"/>
        <v>jueves-04</v>
      </c>
      <c r="L333">
        <f t="shared" si="22"/>
        <v>2023</v>
      </c>
      <c r="M333" s="2" t="str">
        <f t="shared" si="23"/>
        <v>T2-2023</v>
      </c>
    </row>
    <row r="334" spans="1:13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 t="str">
        <f t="shared" si="20"/>
        <v>60+</v>
      </c>
      <c r="K334" t="str">
        <f t="shared" si="21"/>
        <v>domingo-02</v>
      </c>
      <c r="L334">
        <f t="shared" si="22"/>
        <v>2023</v>
      </c>
      <c r="M334" s="2" t="str">
        <f t="shared" si="23"/>
        <v>T1-2023</v>
      </c>
    </row>
    <row r="335" spans="1:13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 t="str">
        <f t="shared" si="20"/>
        <v>60+</v>
      </c>
      <c r="K335" t="str">
        <f t="shared" si="21"/>
        <v>miércoles-11</v>
      </c>
      <c r="L335">
        <f t="shared" si="22"/>
        <v>2023</v>
      </c>
      <c r="M335" s="2" t="str">
        <f t="shared" si="23"/>
        <v>T4-2023</v>
      </c>
    </row>
    <row r="336" spans="1:13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 t="str">
        <f t="shared" si="20"/>
        <v>60+</v>
      </c>
      <c r="K336" t="str">
        <f t="shared" si="21"/>
        <v>sábado-02</v>
      </c>
      <c r="L336">
        <f t="shared" si="22"/>
        <v>2023</v>
      </c>
      <c r="M336" s="2" t="str">
        <f t="shared" si="23"/>
        <v>T1-2023</v>
      </c>
    </row>
    <row r="337" spans="1:13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 t="str">
        <f t="shared" si="20"/>
        <v>60+</v>
      </c>
      <c r="K337" t="str">
        <f t="shared" si="21"/>
        <v>martes-12</v>
      </c>
      <c r="L337">
        <f t="shared" si="22"/>
        <v>2023</v>
      </c>
      <c r="M337" s="2" t="str">
        <f t="shared" si="23"/>
        <v>T4-2023</v>
      </c>
    </row>
    <row r="338" spans="1:13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 t="str">
        <f t="shared" si="20"/>
        <v>60+</v>
      </c>
      <c r="K338" t="str">
        <f t="shared" si="21"/>
        <v>lunes-05</v>
      </c>
      <c r="L338">
        <f t="shared" si="22"/>
        <v>2023</v>
      </c>
      <c r="M338" s="2" t="str">
        <f t="shared" si="23"/>
        <v>T2-2023</v>
      </c>
    </row>
    <row r="339" spans="1:13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 t="str">
        <f t="shared" si="20"/>
        <v>60+</v>
      </c>
      <c r="K339" t="str">
        <f t="shared" si="21"/>
        <v>miércoles-07</v>
      </c>
      <c r="L339">
        <f t="shared" si="22"/>
        <v>2023</v>
      </c>
      <c r="M339" s="2" t="str">
        <f t="shared" si="23"/>
        <v>T3-2023</v>
      </c>
    </row>
    <row r="340" spans="1:13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 t="str">
        <f t="shared" si="20"/>
        <v>60+</v>
      </c>
      <c r="K340" t="str">
        <f t="shared" si="21"/>
        <v>viernes-03</v>
      </c>
      <c r="L340">
        <f t="shared" si="22"/>
        <v>2023</v>
      </c>
      <c r="M340" s="2" t="str">
        <f t="shared" si="23"/>
        <v>T1-2023</v>
      </c>
    </row>
    <row r="341" spans="1:13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 t="str">
        <f t="shared" si="20"/>
        <v>60+</v>
      </c>
      <c r="K341" t="str">
        <f t="shared" si="21"/>
        <v>jueves-10</v>
      </c>
      <c r="L341">
        <f t="shared" si="22"/>
        <v>2023</v>
      </c>
      <c r="M341" s="2" t="str">
        <f t="shared" si="23"/>
        <v>T4-2023</v>
      </c>
    </row>
    <row r="342" spans="1:13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 t="str">
        <f t="shared" si="20"/>
        <v>60+</v>
      </c>
      <c r="K342" t="str">
        <f t="shared" si="21"/>
        <v>domingo-05</v>
      </c>
      <c r="L342">
        <f t="shared" si="22"/>
        <v>2023</v>
      </c>
      <c r="M342" s="2" t="str">
        <f t="shared" si="23"/>
        <v>T2-2023</v>
      </c>
    </row>
    <row r="343" spans="1:13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 t="str">
        <f t="shared" si="20"/>
        <v>60+</v>
      </c>
      <c r="K343" t="str">
        <f t="shared" si="21"/>
        <v>martes-10</v>
      </c>
      <c r="L343">
        <f t="shared" si="22"/>
        <v>2023</v>
      </c>
      <c r="M343" s="2" t="str">
        <f t="shared" si="23"/>
        <v>T4-2023</v>
      </c>
    </row>
    <row r="344" spans="1:13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 t="str">
        <f t="shared" si="20"/>
        <v>60+</v>
      </c>
      <c r="K344" t="str">
        <f t="shared" si="21"/>
        <v>miércoles-11</v>
      </c>
      <c r="L344">
        <f t="shared" si="22"/>
        <v>2023</v>
      </c>
      <c r="M344" s="2" t="str">
        <f t="shared" si="23"/>
        <v>T4-2023</v>
      </c>
    </row>
    <row r="345" spans="1:13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 t="str">
        <f t="shared" si="20"/>
        <v>60+</v>
      </c>
      <c r="K345" t="str">
        <f t="shared" si="21"/>
        <v>sábado-01</v>
      </c>
      <c r="L345">
        <f t="shared" si="22"/>
        <v>2023</v>
      </c>
      <c r="M345" s="2" t="str">
        <f t="shared" si="23"/>
        <v>T1-2023</v>
      </c>
    </row>
    <row r="346" spans="1:13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 t="str">
        <f t="shared" si="20"/>
        <v>60+</v>
      </c>
      <c r="K346" t="str">
        <f t="shared" si="21"/>
        <v>martes-11</v>
      </c>
      <c r="L346">
        <f t="shared" si="22"/>
        <v>2023</v>
      </c>
      <c r="M346" s="2" t="str">
        <f t="shared" si="23"/>
        <v>T4-2023</v>
      </c>
    </row>
    <row r="347" spans="1:13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 t="str">
        <f t="shared" si="20"/>
        <v>60+</v>
      </c>
      <c r="K347" t="str">
        <f t="shared" si="21"/>
        <v>sábado-02</v>
      </c>
      <c r="L347">
        <f t="shared" si="22"/>
        <v>2023</v>
      </c>
      <c r="M347" s="2" t="str">
        <f t="shared" si="23"/>
        <v>T1-2023</v>
      </c>
    </row>
    <row r="348" spans="1:13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 t="str">
        <f t="shared" si="20"/>
        <v>60+</v>
      </c>
      <c r="K348" t="str">
        <f t="shared" si="21"/>
        <v>jueves-08</v>
      </c>
      <c r="L348">
        <f t="shared" si="22"/>
        <v>2023</v>
      </c>
      <c r="M348" s="2" t="str">
        <f t="shared" si="23"/>
        <v>T3-2023</v>
      </c>
    </row>
    <row r="349" spans="1:13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 t="str">
        <f t="shared" si="20"/>
        <v>60+</v>
      </c>
      <c r="K349" t="str">
        <f t="shared" si="21"/>
        <v>domingo-12</v>
      </c>
      <c r="L349">
        <f t="shared" si="22"/>
        <v>2023</v>
      </c>
      <c r="M349" s="2" t="str">
        <f t="shared" si="23"/>
        <v>T4-2023</v>
      </c>
    </row>
    <row r="350" spans="1:13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 t="str">
        <f t="shared" si="20"/>
        <v>60+</v>
      </c>
      <c r="K350" t="str">
        <f t="shared" si="21"/>
        <v>jueves-10</v>
      </c>
      <c r="L350">
        <f t="shared" si="22"/>
        <v>2023</v>
      </c>
      <c r="M350" s="2" t="str">
        <f t="shared" si="23"/>
        <v>T4-2023</v>
      </c>
    </row>
    <row r="351" spans="1:13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 t="str">
        <f t="shared" si="20"/>
        <v>60+</v>
      </c>
      <c r="K351" t="str">
        <f t="shared" si="21"/>
        <v>martes-10</v>
      </c>
      <c r="L351">
        <f t="shared" si="22"/>
        <v>2023</v>
      </c>
      <c r="M351" s="2" t="str">
        <f t="shared" si="23"/>
        <v>T4-2023</v>
      </c>
    </row>
    <row r="352" spans="1:13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 t="str">
        <f t="shared" si="20"/>
        <v>60+</v>
      </c>
      <c r="K352" t="str">
        <f t="shared" si="21"/>
        <v>lunes-09</v>
      </c>
      <c r="L352">
        <f t="shared" si="22"/>
        <v>2023</v>
      </c>
      <c r="M352" s="2" t="str">
        <f t="shared" si="23"/>
        <v>T3-2023</v>
      </c>
    </row>
    <row r="353" spans="1:13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 t="str">
        <f t="shared" si="20"/>
        <v>60+</v>
      </c>
      <c r="K353" t="str">
        <f t="shared" si="21"/>
        <v>domingo-06</v>
      </c>
      <c r="L353">
        <f t="shared" si="22"/>
        <v>2023</v>
      </c>
      <c r="M353" s="2" t="str">
        <f t="shared" si="23"/>
        <v>T2-2023</v>
      </c>
    </row>
    <row r="354" spans="1:13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 t="str">
        <f t="shared" si="20"/>
        <v>60+</v>
      </c>
      <c r="K354" t="str">
        <f t="shared" si="21"/>
        <v>domingo-05</v>
      </c>
      <c r="L354">
        <f t="shared" si="22"/>
        <v>2023</v>
      </c>
      <c r="M354" s="2" t="str">
        <f t="shared" si="23"/>
        <v>T2-2023</v>
      </c>
    </row>
    <row r="355" spans="1:13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 t="str">
        <f t="shared" si="20"/>
        <v>60+</v>
      </c>
      <c r="K355" t="str">
        <f t="shared" si="21"/>
        <v>sábado-04</v>
      </c>
      <c r="L355">
        <f t="shared" si="22"/>
        <v>2023</v>
      </c>
      <c r="M355" s="2" t="str">
        <f t="shared" si="23"/>
        <v>T2-2023</v>
      </c>
    </row>
    <row r="356" spans="1:13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 t="str">
        <f t="shared" si="20"/>
        <v>60+</v>
      </c>
      <c r="K356" t="str">
        <f t="shared" si="21"/>
        <v>sábado-12</v>
      </c>
      <c r="L356">
        <f t="shared" si="22"/>
        <v>2023</v>
      </c>
      <c r="M356" s="2" t="str">
        <f t="shared" si="23"/>
        <v>T4-2023</v>
      </c>
    </row>
    <row r="357" spans="1:13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 t="str">
        <f t="shared" si="20"/>
        <v>60+</v>
      </c>
      <c r="K357" t="str">
        <f t="shared" si="21"/>
        <v>sábado-06</v>
      </c>
      <c r="L357">
        <f t="shared" si="22"/>
        <v>2023</v>
      </c>
      <c r="M357" s="2" t="str">
        <f t="shared" si="23"/>
        <v>T2-2023</v>
      </c>
    </row>
    <row r="358" spans="1:13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 t="str">
        <f t="shared" si="20"/>
        <v>60+</v>
      </c>
      <c r="K358" t="str">
        <f t="shared" si="21"/>
        <v>miércoles-05</v>
      </c>
      <c r="L358">
        <f t="shared" si="22"/>
        <v>2023</v>
      </c>
      <c r="M358" s="2" t="str">
        <f t="shared" si="23"/>
        <v>T2-2023</v>
      </c>
    </row>
    <row r="359" spans="1:13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 t="str">
        <f t="shared" si="20"/>
        <v>60+</v>
      </c>
      <c r="K359" t="str">
        <f t="shared" si="21"/>
        <v>martes-05</v>
      </c>
      <c r="L359">
        <f t="shared" si="22"/>
        <v>2023</v>
      </c>
      <c r="M359" s="2" t="str">
        <f t="shared" si="23"/>
        <v>T2-2023</v>
      </c>
    </row>
    <row r="360" spans="1:13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 t="str">
        <f t="shared" si="20"/>
        <v>60+</v>
      </c>
      <c r="K360" t="str">
        <f t="shared" si="21"/>
        <v>sábado-07</v>
      </c>
      <c r="L360">
        <f t="shared" si="22"/>
        <v>2023</v>
      </c>
      <c r="M360" s="2" t="str">
        <f t="shared" si="23"/>
        <v>T3-2023</v>
      </c>
    </row>
    <row r="361" spans="1:13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 t="str">
        <f t="shared" si="20"/>
        <v>60+</v>
      </c>
      <c r="K361" t="str">
        <f t="shared" si="21"/>
        <v>jueves-03</v>
      </c>
      <c r="L361">
        <f t="shared" si="22"/>
        <v>2023</v>
      </c>
      <c r="M361" s="2" t="str">
        <f t="shared" si="23"/>
        <v>T1-2023</v>
      </c>
    </row>
    <row r="362" spans="1:13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 t="str">
        <f t="shared" si="20"/>
        <v>60+</v>
      </c>
      <c r="K362" t="str">
        <f t="shared" si="21"/>
        <v>domingo-12</v>
      </c>
      <c r="L362">
        <f t="shared" si="22"/>
        <v>2023</v>
      </c>
      <c r="M362" s="2" t="str">
        <f t="shared" si="23"/>
        <v>T4-2023</v>
      </c>
    </row>
    <row r="363" spans="1:13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 t="str">
        <f t="shared" si="20"/>
        <v>60+</v>
      </c>
      <c r="K363" t="str">
        <f t="shared" si="21"/>
        <v>lunes-11</v>
      </c>
      <c r="L363">
        <f t="shared" si="22"/>
        <v>2023</v>
      </c>
      <c r="M363" s="2" t="str">
        <f t="shared" si="23"/>
        <v>T4-2023</v>
      </c>
    </row>
    <row r="364" spans="1:13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 t="str">
        <f t="shared" si="20"/>
        <v>60+</v>
      </c>
      <c r="K364" t="str">
        <f t="shared" si="21"/>
        <v>sábado-06</v>
      </c>
      <c r="L364">
        <f t="shared" si="22"/>
        <v>2023</v>
      </c>
      <c r="M364" s="2" t="str">
        <f t="shared" si="23"/>
        <v>T2-2023</v>
      </c>
    </row>
    <row r="365" spans="1:13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 t="str">
        <f t="shared" si="20"/>
        <v>60+</v>
      </c>
      <c r="K365" t="str">
        <f t="shared" si="21"/>
        <v>miércoles-08</v>
      </c>
      <c r="L365">
        <f t="shared" si="22"/>
        <v>2023</v>
      </c>
      <c r="M365" s="2" t="str">
        <f t="shared" si="23"/>
        <v>T3-2023</v>
      </c>
    </row>
    <row r="366" spans="1:13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 t="str">
        <f t="shared" si="20"/>
        <v>60+</v>
      </c>
      <c r="K366" t="str">
        <f t="shared" si="21"/>
        <v>domingo-06</v>
      </c>
      <c r="L366">
        <f t="shared" si="22"/>
        <v>2023</v>
      </c>
      <c r="M366" s="2" t="str">
        <f t="shared" si="23"/>
        <v>T2-2023</v>
      </c>
    </row>
    <row r="367" spans="1:13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 t="str">
        <f t="shared" si="20"/>
        <v>60+</v>
      </c>
      <c r="K367" t="str">
        <f t="shared" si="21"/>
        <v>martes-02</v>
      </c>
      <c r="L367">
        <f t="shared" si="22"/>
        <v>2023</v>
      </c>
      <c r="M367" s="2" t="str">
        <f t="shared" si="23"/>
        <v>T1-2023</v>
      </c>
    </row>
    <row r="368" spans="1:13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 t="str">
        <f t="shared" si="20"/>
        <v>60+</v>
      </c>
      <c r="K368" t="str">
        <f t="shared" si="21"/>
        <v>jueves-01</v>
      </c>
      <c r="L368">
        <f t="shared" si="22"/>
        <v>2023</v>
      </c>
      <c r="M368" s="2" t="str">
        <f t="shared" si="23"/>
        <v>T1-2023</v>
      </c>
    </row>
    <row r="369" spans="1:13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 t="str">
        <f t="shared" si="20"/>
        <v>60+</v>
      </c>
      <c r="K369" t="str">
        <f t="shared" si="21"/>
        <v>miércoles-08</v>
      </c>
      <c r="L369">
        <f t="shared" si="22"/>
        <v>2023</v>
      </c>
      <c r="M369" s="2" t="str">
        <f t="shared" si="23"/>
        <v>T3-2023</v>
      </c>
    </row>
    <row r="370" spans="1:13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 t="str">
        <f t="shared" si="20"/>
        <v>60+</v>
      </c>
      <c r="K370" t="str">
        <f t="shared" si="21"/>
        <v>miércoles-11</v>
      </c>
      <c r="L370">
        <f t="shared" si="22"/>
        <v>2023</v>
      </c>
      <c r="M370" s="2" t="str">
        <f t="shared" si="23"/>
        <v>T4-2023</v>
      </c>
    </row>
    <row r="371" spans="1:13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 t="str">
        <f t="shared" si="20"/>
        <v>60+</v>
      </c>
      <c r="K371" t="str">
        <f t="shared" si="21"/>
        <v>lunes-10</v>
      </c>
      <c r="L371">
        <f t="shared" si="22"/>
        <v>2023</v>
      </c>
      <c r="M371" s="2" t="str">
        <f t="shared" si="23"/>
        <v>T4-2023</v>
      </c>
    </row>
    <row r="372" spans="1:13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 t="str">
        <f t="shared" si="20"/>
        <v>60+</v>
      </c>
      <c r="K372" t="str">
        <f t="shared" si="21"/>
        <v>martes-02</v>
      </c>
      <c r="L372">
        <f t="shared" si="22"/>
        <v>2023</v>
      </c>
      <c r="M372" s="2" t="str">
        <f t="shared" si="23"/>
        <v>T1-2023</v>
      </c>
    </row>
    <row r="373" spans="1:13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 t="str">
        <f t="shared" si="20"/>
        <v>60+</v>
      </c>
      <c r="K373" t="str">
        <f t="shared" si="21"/>
        <v>martes-02</v>
      </c>
      <c r="L373">
        <f t="shared" si="22"/>
        <v>2023</v>
      </c>
      <c r="M373" s="2" t="str">
        <f t="shared" si="23"/>
        <v>T1-2023</v>
      </c>
    </row>
    <row r="374" spans="1:13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 t="str">
        <f t="shared" si="20"/>
        <v>60+</v>
      </c>
      <c r="K374" t="str">
        <f t="shared" si="21"/>
        <v>martes-10</v>
      </c>
      <c r="L374">
        <f t="shared" si="22"/>
        <v>2023</v>
      </c>
      <c r="M374" s="2" t="str">
        <f t="shared" si="23"/>
        <v>T4-2023</v>
      </c>
    </row>
    <row r="375" spans="1:13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 t="str">
        <f t="shared" si="20"/>
        <v>60+</v>
      </c>
      <c r="K375" t="str">
        <f t="shared" si="21"/>
        <v>jueves-04</v>
      </c>
      <c r="L375">
        <f t="shared" si="22"/>
        <v>2023</v>
      </c>
      <c r="M375" s="2" t="str">
        <f t="shared" si="23"/>
        <v>T2-2023</v>
      </c>
    </row>
    <row r="376" spans="1:13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 t="str">
        <f t="shared" si="20"/>
        <v>60+</v>
      </c>
      <c r="K376" t="str">
        <f t="shared" si="21"/>
        <v>domingo-09</v>
      </c>
      <c r="L376">
        <f t="shared" si="22"/>
        <v>2023</v>
      </c>
      <c r="M376" s="2" t="str">
        <f t="shared" si="23"/>
        <v>T3-2023</v>
      </c>
    </row>
    <row r="377" spans="1:13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 t="str">
        <f t="shared" si="20"/>
        <v>60+</v>
      </c>
      <c r="K377" t="str">
        <f t="shared" si="21"/>
        <v>martes-05</v>
      </c>
      <c r="L377">
        <f t="shared" si="22"/>
        <v>2023</v>
      </c>
      <c r="M377" s="2" t="str">
        <f t="shared" si="23"/>
        <v>T2-2023</v>
      </c>
    </row>
    <row r="378" spans="1:13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 t="str">
        <f t="shared" si="20"/>
        <v>60+</v>
      </c>
      <c r="K378" t="str">
        <f t="shared" si="21"/>
        <v>jueves-03</v>
      </c>
      <c r="L378">
        <f t="shared" si="22"/>
        <v>2023</v>
      </c>
      <c r="M378" s="2" t="str">
        <f t="shared" si="23"/>
        <v>T1-2023</v>
      </c>
    </row>
    <row r="379" spans="1:13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 t="str">
        <f t="shared" si="20"/>
        <v>60+</v>
      </c>
      <c r="K379" t="str">
        <f t="shared" si="21"/>
        <v>miércoles-06</v>
      </c>
      <c r="L379">
        <f t="shared" si="22"/>
        <v>2023</v>
      </c>
      <c r="M379" s="2" t="str">
        <f t="shared" si="23"/>
        <v>T2-2023</v>
      </c>
    </row>
    <row r="380" spans="1:13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 t="str">
        <f t="shared" si="20"/>
        <v>60+</v>
      </c>
      <c r="K380" t="str">
        <f t="shared" si="21"/>
        <v>domingo-02</v>
      </c>
      <c r="L380">
        <f t="shared" si="22"/>
        <v>2023</v>
      </c>
      <c r="M380" s="2" t="str">
        <f t="shared" si="23"/>
        <v>T1-2023</v>
      </c>
    </row>
    <row r="381" spans="1:13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 t="str">
        <f t="shared" si="20"/>
        <v>60+</v>
      </c>
      <c r="K381" t="str">
        <f t="shared" si="21"/>
        <v>sábado-05</v>
      </c>
      <c r="L381">
        <f t="shared" si="22"/>
        <v>2023</v>
      </c>
      <c r="M381" s="2" t="str">
        <f t="shared" si="23"/>
        <v>T2-2023</v>
      </c>
    </row>
    <row r="382" spans="1:13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 t="str">
        <f t="shared" si="20"/>
        <v>60+</v>
      </c>
      <c r="K382" t="str">
        <f t="shared" si="21"/>
        <v>domingo-07</v>
      </c>
      <c r="L382">
        <f t="shared" si="22"/>
        <v>2023</v>
      </c>
      <c r="M382" s="2" t="str">
        <f t="shared" si="23"/>
        <v>T3-2023</v>
      </c>
    </row>
    <row r="383" spans="1:13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 t="str">
        <f t="shared" si="20"/>
        <v>60+</v>
      </c>
      <c r="K383" t="str">
        <f t="shared" si="21"/>
        <v>viernes-05</v>
      </c>
      <c r="L383">
        <f t="shared" si="22"/>
        <v>2023</v>
      </c>
      <c r="M383" s="2" t="str">
        <f t="shared" si="23"/>
        <v>T2-2023</v>
      </c>
    </row>
    <row r="384" spans="1:13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 t="str">
        <f t="shared" si="20"/>
        <v>60+</v>
      </c>
      <c r="K384" t="str">
        <f t="shared" si="21"/>
        <v>miércoles-03</v>
      </c>
      <c r="L384">
        <f t="shared" si="22"/>
        <v>2023</v>
      </c>
      <c r="M384" s="2" t="str">
        <f t="shared" si="23"/>
        <v>T1-2023</v>
      </c>
    </row>
    <row r="385" spans="1:13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 t="str">
        <f t="shared" si="20"/>
        <v>60+</v>
      </c>
      <c r="K385" t="str">
        <f t="shared" si="21"/>
        <v>domingo-08</v>
      </c>
      <c r="L385">
        <f t="shared" si="22"/>
        <v>2023</v>
      </c>
      <c r="M385" s="2" t="str">
        <f t="shared" si="23"/>
        <v>T3-2023</v>
      </c>
    </row>
    <row r="386" spans="1:13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 t="str">
        <f t="shared" ref="J386:J449" si="24">IF(D386&lt;30,"18-29",IF(D386&lt;45,"30-44",IF(D386&lt;60,"45-59","60+")))</f>
        <v>60+</v>
      </c>
      <c r="K386" t="str">
        <f t="shared" ref="K386:K449" si="25">TEXT(B386,"AAAA-MM")</f>
        <v>viernes-10</v>
      </c>
      <c r="L386">
        <f t="shared" ref="L386:L449" si="26">YEAR(B386)</f>
        <v>2023</v>
      </c>
      <c r="M386" s="2" t="str">
        <f t="shared" ref="M386:M449" si="27">"T"&amp;INT((MONTH(B386)-1)/3+1)&amp;"-"&amp;YEAR(B386)</f>
        <v>T4-2023</v>
      </c>
    </row>
    <row r="387" spans="1:13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 t="str">
        <f t="shared" si="24"/>
        <v>60+</v>
      </c>
      <c r="K387" t="str">
        <f t="shared" si="25"/>
        <v>miércoles-12</v>
      </c>
      <c r="L387">
        <f t="shared" si="26"/>
        <v>2023</v>
      </c>
      <c r="M387" s="2" t="str">
        <f t="shared" si="27"/>
        <v>T4-2023</v>
      </c>
    </row>
    <row r="388" spans="1:13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 t="str">
        <f t="shared" si="24"/>
        <v>60+</v>
      </c>
      <c r="K388" t="str">
        <f t="shared" si="25"/>
        <v>domingo-06</v>
      </c>
      <c r="L388">
        <f t="shared" si="26"/>
        <v>2023</v>
      </c>
      <c r="M388" s="2" t="str">
        <f t="shared" si="27"/>
        <v>T2-2023</v>
      </c>
    </row>
    <row r="389" spans="1:13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 t="str">
        <f t="shared" si="24"/>
        <v>60+</v>
      </c>
      <c r="K389" t="str">
        <f t="shared" si="25"/>
        <v>viernes-11</v>
      </c>
      <c r="L389">
        <f t="shared" si="26"/>
        <v>2023</v>
      </c>
      <c r="M389" s="2" t="str">
        <f t="shared" si="27"/>
        <v>T4-2023</v>
      </c>
    </row>
    <row r="390" spans="1:13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 t="str">
        <f t="shared" si="24"/>
        <v>60+</v>
      </c>
      <c r="K390" t="str">
        <f t="shared" si="25"/>
        <v>viernes-12</v>
      </c>
      <c r="L390">
        <f t="shared" si="26"/>
        <v>2023</v>
      </c>
      <c r="M390" s="2" t="str">
        <f t="shared" si="27"/>
        <v>T4-2023</v>
      </c>
    </row>
    <row r="391" spans="1:13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 t="str">
        <f t="shared" si="24"/>
        <v>60+</v>
      </c>
      <c r="K391" t="str">
        <f t="shared" si="25"/>
        <v>jueves-09</v>
      </c>
      <c r="L391">
        <f t="shared" si="26"/>
        <v>2023</v>
      </c>
      <c r="M391" s="2" t="str">
        <f t="shared" si="27"/>
        <v>T3-2023</v>
      </c>
    </row>
    <row r="392" spans="1:13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 t="str">
        <f t="shared" si="24"/>
        <v>60+</v>
      </c>
      <c r="K392" t="str">
        <f t="shared" si="25"/>
        <v>jueves-01</v>
      </c>
      <c r="L392">
        <f t="shared" si="26"/>
        <v>2023</v>
      </c>
      <c r="M392" s="2" t="str">
        <f t="shared" si="27"/>
        <v>T1-2023</v>
      </c>
    </row>
    <row r="393" spans="1:13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 t="str">
        <f t="shared" si="24"/>
        <v>60+</v>
      </c>
      <c r="K393" t="str">
        <f t="shared" si="25"/>
        <v>viernes-12</v>
      </c>
      <c r="L393">
        <f t="shared" si="26"/>
        <v>2023</v>
      </c>
      <c r="M393" s="2" t="str">
        <f t="shared" si="27"/>
        <v>T4-2023</v>
      </c>
    </row>
    <row r="394" spans="1:13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 t="str">
        <f t="shared" si="24"/>
        <v>60+</v>
      </c>
      <c r="K394" t="str">
        <f t="shared" si="25"/>
        <v>miércoles-10</v>
      </c>
      <c r="L394">
        <f t="shared" si="26"/>
        <v>2023</v>
      </c>
      <c r="M394" s="2" t="str">
        <f t="shared" si="27"/>
        <v>T4-2023</v>
      </c>
    </row>
    <row r="395" spans="1:13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 t="str">
        <f t="shared" si="24"/>
        <v>60+</v>
      </c>
      <c r="K395" t="str">
        <f t="shared" si="25"/>
        <v>sábado-06</v>
      </c>
      <c r="L395">
        <f t="shared" si="26"/>
        <v>2023</v>
      </c>
      <c r="M395" s="2" t="str">
        <f t="shared" si="27"/>
        <v>T2-2023</v>
      </c>
    </row>
    <row r="396" spans="1:13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 t="str">
        <f t="shared" si="24"/>
        <v>60+</v>
      </c>
      <c r="K396" t="str">
        <f t="shared" si="25"/>
        <v>miércoles-12</v>
      </c>
      <c r="L396">
        <f t="shared" si="26"/>
        <v>2023</v>
      </c>
      <c r="M396" s="2" t="str">
        <f t="shared" si="27"/>
        <v>T4-2023</v>
      </c>
    </row>
    <row r="397" spans="1:13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 t="str">
        <f t="shared" si="24"/>
        <v>60+</v>
      </c>
      <c r="K397" t="str">
        <f t="shared" si="25"/>
        <v>jueves-02</v>
      </c>
      <c r="L397">
        <f t="shared" si="26"/>
        <v>2023</v>
      </c>
      <c r="M397" s="2" t="str">
        <f t="shared" si="27"/>
        <v>T1-2023</v>
      </c>
    </row>
    <row r="398" spans="1:13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 t="str">
        <f t="shared" si="24"/>
        <v>60+</v>
      </c>
      <c r="K398" t="str">
        <f t="shared" si="25"/>
        <v>viernes-03</v>
      </c>
      <c r="L398">
        <f t="shared" si="26"/>
        <v>2023</v>
      </c>
      <c r="M398" s="2" t="str">
        <f t="shared" si="27"/>
        <v>T1-2023</v>
      </c>
    </row>
    <row r="399" spans="1:13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 t="str">
        <f t="shared" si="24"/>
        <v>60+</v>
      </c>
      <c r="K399" t="str">
        <f t="shared" si="25"/>
        <v>martes-05</v>
      </c>
      <c r="L399">
        <f t="shared" si="26"/>
        <v>2023</v>
      </c>
      <c r="M399" s="2" t="str">
        <f t="shared" si="27"/>
        <v>T2-2023</v>
      </c>
    </row>
    <row r="400" spans="1:13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 t="str">
        <f t="shared" si="24"/>
        <v>60+</v>
      </c>
      <c r="K400" t="str">
        <f t="shared" si="25"/>
        <v>miércoles-03</v>
      </c>
      <c r="L400">
        <f t="shared" si="26"/>
        <v>2023</v>
      </c>
      <c r="M400" s="2" t="str">
        <f t="shared" si="27"/>
        <v>T1-2023</v>
      </c>
    </row>
    <row r="401" spans="1:13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 t="str">
        <f t="shared" si="24"/>
        <v>60+</v>
      </c>
      <c r="K401" t="str">
        <f t="shared" si="25"/>
        <v>viernes-02</v>
      </c>
      <c r="L401">
        <f t="shared" si="26"/>
        <v>2023</v>
      </c>
      <c r="M401" s="2" t="str">
        <f t="shared" si="27"/>
        <v>T1-2023</v>
      </c>
    </row>
    <row r="402" spans="1:13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 t="str">
        <f t="shared" si="24"/>
        <v>60+</v>
      </c>
      <c r="K402" t="str">
        <f t="shared" si="25"/>
        <v>miércoles-10</v>
      </c>
      <c r="L402">
        <f t="shared" si="26"/>
        <v>2023</v>
      </c>
      <c r="M402" s="2" t="str">
        <f t="shared" si="27"/>
        <v>T4-2023</v>
      </c>
    </row>
    <row r="403" spans="1:13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 t="str">
        <f t="shared" si="24"/>
        <v>60+</v>
      </c>
      <c r="K403" t="str">
        <f t="shared" si="25"/>
        <v>martes-03</v>
      </c>
      <c r="L403">
        <f t="shared" si="26"/>
        <v>2023</v>
      </c>
      <c r="M403" s="2" t="str">
        <f t="shared" si="27"/>
        <v>T1-2023</v>
      </c>
    </row>
    <row r="404" spans="1:13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 t="str">
        <f t="shared" si="24"/>
        <v>60+</v>
      </c>
      <c r="K404" t="str">
        <f t="shared" si="25"/>
        <v>sábado-05</v>
      </c>
      <c r="L404">
        <f t="shared" si="26"/>
        <v>2023</v>
      </c>
      <c r="M404" s="2" t="str">
        <f t="shared" si="27"/>
        <v>T2-2023</v>
      </c>
    </row>
    <row r="405" spans="1:13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 t="str">
        <f t="shared" si="24"/>
        <v>60+</v>
      </c>
      <c r="K405" t="str">
        <f t="shared" si="25"/>
        <v>jueves-05</v>
      </c>
      <c r="L405">
        <f t="shared" si="26"/>
        <v>2023</v>
      </c>
      <c r="M405" s="2" t="str">
        <f t="shared" si="27"/>
        <v>T2-2023</v>
      </c>
    </row>
    <row r="406" spans="1:13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 t="str">
        <f t="shared" si="24"/>
        <v>60+</v>
      </c>
      <c r="K406" t="str">
        <f t="shared" si="25"/>
        <v>lunes-11</v>
      </c>
      <c r="L406">
        <f t="shared" si="26"/>
        <v>2023</v>
      </c>
      <c r="M406" s="2" t="str">
        <f t="shared" si="27"/>
        <v>T4-2023</v>
      </c>
    </row>
    <row r="407" spans="1:13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 t="str">
        <f t="shared" si="24"/>
        <v>60+</v>
      </c>
      <c r="K407" t="str">
        <f t="shared" si="25"/>
        <v>martes-04</v>
      </c>
      <c r="L407">
        <f t="shared" si="26"/>
        <v>2023</v>
      </c>
      <c r="M407" s="2" t="str">
        <f t="shared" si="27"/>
        <v>T2-2023</v>
      </c>
    </row>
    <row r="408" spans="1:13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 t="str">
        <f t="shared" si="24"/>
        <v>60+</v>
      </c>
      <c r="K408" t="str">
        <f t="shared" si="25"/>
        <v>domingo-06</v>
      </c>
      <c r="L408">
        <f t="shared" si="26"/>
        <v>2023</v>
      </c>
      <c r="M408" s="2" t="str">
        <f t="shared" si="27"/>
        <v>T2-2023</v>
      </c>
    </row>
    <row r="409" spans="1:13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 t="str">
        <f t="shared" si="24"/>
        <v>60+</v>
      </c>
      <c r="K409" t="str">
        <f t="shared" si="25"/>
        <v>sábado-04</v>
      </c>
      <c r="L409">
        <f t="shared" si="26"/>
        <v>2023</v>
      </c>
      <c r="M409" s="2" t="str">
        <f t="shared" si="27"/>
        <v>T2-2023</v>
      </c>
    </row>
    <row r="410" spans="1:13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 t="str">
        <f t="shared" si="24"/>
        <v>60+</v>
      </c>
      <c r="K410" t="str">
        <f t="shared" si="25"/>
        <v>lunes-12</v>
      </c>
      <c r="L410">
        <f t="shared" si="26"/>
        <v>2023</v>
      </c>
      <c r="M410" s="2" t="str">
        <f t="shared" si="27"/>
        <v>T4-2023</v>
      </c>
    </row>
    <row r="411" spans="1:13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 t="str">
        <f t="shared" si="24"/>
        <v>60+</v>
      </c>
      <c r="K411" t="str">
        <f t="shared" si="25"/>
        <v>martes-11</v>
      </c>
      <c r="L411">
        <f t="shared" si="26"/>
        <v>2023</v>
      </c>
      <c r="M411" s="2" t="str">
        <f t="shared" si="27"/>
        <v>T4-2023</v>
      </c>
    </row>
    <row r="412" spans="1:13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 t="str">
        <f t="shared" si="24"/>
        <v>60+</v>
      </c>
      <c r="K412" t="str">
        <f t="shared" si="25"/>
        <v>martes-05</v>
      </c>
      <c r="L412">
        <f t="shared" si="26"/>
        <v>2023</v>
      </c>
      <c r="M412" s="2" t="str">
        <f t="shared" si="27"/>
        <v>T2-2023</v>
      </c>
    </row>
    <row r="413" spans="1:13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 t="str">
        <f t="shared" si="24"/>
        <v>60+</v>
      </c>
      <c r="K413" t="str">
        <f t="shared" si="25"/>
        <v>sábado-09</v>
      </c>
      <c r="L413">
        <f t="shared" si="26"/>
        <v>2023</v>
      </c>
      <c r="M413" s="2" t="str">
        <f t="shared" si="27"/>
        <v>T3-2023</v>
      </c>
    </row>
    <row r="414" spans="1:13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 t="str">
        <f t="shared" si="24"/>
        <v>60+</v>
      </c>
      <c r="K414" t="str">
        <f t="shared" si="25"/>
        <v>viernes-09</v>
      </c>
      <c r="L414">
        <f t="shared" si="26"/>
        <v>2023</v>
      </c>
      <c r="M414" s="2" t="str">
        <f t="shared" si="27"/>
        <v>T3-2023</v>
      </c>
    </row>
    <row r="415" spans="1:13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 t="str">
        <f t="shared" si="24"/>
        <v>60+</v>
      </c>
      <c r="K415" t="str">
        <f t="shared" si="25"/>
        <v>martes-05</v>
      </c>
      <c r="L415">
        <f t="shared" si="26"/>
        <v>2023</v>
      </c>
      <c r="M415" s="2" t="str">
        <f t="shared" si="27"/>
        <v>T2-2023</v>
      </c>
    </row>
    <row r="416" spans="1:13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 t="str">
        <f t="shared" si="24"/>
        <v>60+</v>
      </c>
      <c r="K416" t="str">
        <f t="shared" si="25"/>
        <v>viernes-01</v>
      </c>
      <c r="L416">
        <f t="shared" si="26"/>
        <v>2023</v>
      </c>
      <c r="M416" s="2" t="str">
        <f t="shared" si="27"/>
        <v>T1-2023</v>
      </c>
    </row>
    <row r="417" spans="1:13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 t="str">
        <f t="shared" si="24"/>
        <v>60+</v>
      </c>
      <c r="K417" t="str">
        <f t="shared" si="25"/>
        <v>viernes-02</v>
      </c>
      <c r="L417">
        <f t="shared" si="26"/>
        <v>2023</v>
      </c>
      <c r="M417" s="2" t="str">
        <f t="shared" si="27"/>
        <v>T1-2023</v>
      </c>
    </row>
    <row r="418" spans="1:13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 t="str">
        <f t="shared" si="24"/>
        <v>60+</v>
      </c>
      <c r="K418" t="str">
        <f t="shared" si="25"/>
        <v>martes-11</v>
      </c>
      <c r="L418">
        <f t="shared" si="26"/>
        <v>2023</v>
      </c>
      <c r="M418" s="2" t="str">
        <f t="shared" si="27"/>
        <v>T4-2023</v>
      </c>
    </row>
    <row r="419" spans="1:13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 t="str">
        <f t="shared" si="24"/>
        <v>60+</v>
      </c>
      <c r="K419" t="str">
        <f t="shared" si="25"/>
        <v>sábado-08</v>
      </c>
      <c r="L419">
        <f t="shared" si="26"/>
        <v>2023</v>
      </c>
      <c r="M419" s="2" t="str">
        <f t="shared" si="27"/>
        <v>T3-2023</v>
      </c>
    </row>
    <row r="420" spans="1:13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 t="str">
        <f t="shared" si="24"/>
        <v>60+</v>
      </c>
      <c r="K420" t="str">
        <f t="shared" si="25"/>
        <v>lunes-05</v>
      </c>
      <c r="L420">
        <f t="shared" si="26"/>
        <v>2023</v>
      </c>
      <c r="M420" s="2" t="str">
        <f t="shared" si="27"/>
        <v>T2-2023</v>
      </c>
    </row>
    <row r="421" spans="1:13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 t="str">
        <f t="shared" si="24"/>
        <v>60+</v>
      </c>
      <c r="K421" t="str">
        <f t="shared" si="25"/>
        <v>lunes-01</v>
      </c>
      <c r="L421">
        <f t="shared" si="26"/>
        <v>2023</v>
      </c>
      <c r="M421" s="2" t="str">
        <f t="shared" si="27"/>
        <v>T1-2023</v>
      </c>
    </row>
    <row r="422" spans="1:13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 t="str">
        <f t="shared" si="24"/>
        <v>60+</v>
      </c>
      <c r="K422" t="str">
        <f t="shared" si="25"/>
        <v>lunes-01</v>
      </c>
      <c r="L422">
        <f t="shared" si="26"/>
        <v>2023</v>
      </c>
      <c r="M422" s="2" t="str">
        <f t="shared" si="27"/>
        <v>T1-2023</v>
      </c>
    </row>
    <row r="423" spans="1:13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 t="str">
        <f t="shared" si="24"/>
        <v>60+</v>
      </c>
      <c r="K423" t="str">
        <f t="shared" si="25"/>
        <v>martes-06</v>
      </c>
      <c r="L423">
        <f t="shared" si="26"/>
        <v>2023</v>
      </c>
      <c r="M423" s="2" t="str">
        <f t="shared" si="27"/>
        <v>T2-2023</v>
      </c>
    </row>
    <row r="424" spans="1:13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 t="str">
        <f t="shared" si="24"/>
        <v>60+</v>
      </c>
      <c r="K424" t="str">
        <f t="shared" si="25"/>
        <v>miércoles-03</v>
      </c>
      <c r="L424">
        <f t="shared" si="26"/>
        <v>2023</v>
      </c>
      <c r="M424" s="2" t="str">
        <f t="shared" si="27"/>
        <v>T1-2023</v>
      </c>
    </row>
    <row r="425" spans="1:13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 t="str">
        <f t="shared" si="24"/>
        <v>60+</v>
      </c>
      <c r="K425" t="str">
        <f t="shared" si="25"/>
        <v>jueves-11</v>
      </c>
      <c r="L425">
        <f t="shared" si="26"/>
        <v>2023</v>
      </c>
      <c r="M425" s="2" t="str">
        <f t="shared" si="27"/>
        <v>T4-2023</v>
      </c>
    </row>
    <row r="426" spans="1:13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 t="str">
        <f t="shared" si="24"/>
        <v>60+</v>
      </c>
      <c r="K426" t="str">
        <f t="shared" si="25"/>
        <v>lunes-05</v>
      </c>
      <c r="L426">
        <f t="shared" si="26"/>
        <v>2023</v>
      </c>
      <c r="M426" s="2" t="str">
        <f t="shared" si="27"/>
        <v>T2-2023</v>
      </c>
    </row>
    <row r="427" spans="1:13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 t="str">
        <f t="shared" si="24"/>
        <v>60+</v>
      </c>
      <c r="K427" t="str">
        <f t="shared" si="25"/>
        <v>viernes-03</v>
      </c>
      <c r="L427">
        <f t="shared" si="26"/>
        <v>2023</v>
      </c>
      <c r="M427" s="2" t="str">
        <f t="shared" si="27"/>
        <v>T1-2023</v>
      </c>
    </row>
    <row r="428" spans="1:13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 t="str">
        <f t="shared" si="24"/>
        <v>60+</v>
      </c>
      <c r="K428" t="str">
        <f t="shared" si="25"/>
        <v>martes-08</v>
      </c>
      <c r="L428">
        <f t="shared" si="26"/>
        <v>2023</v>
      </c>
      <c r="M428" s="2" t="str">
        <f t="shared" si="27"/>
        <v>T3-2023</v>
      </c>
    </row>
    <row r="429" spans="1:13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 t="str">
        <f t="shared" si="24"/>
        <v>60+</v>
      </c>
      <c r="K429" t="str">
        <f t="shared" si="25"/>
        <v>martes-10</v>
      </c>
      <c r="L429">
        <f t="shared" si="26"/>
        <v>2023</v>
      </c>
      <c r="M429" s="2" t="str">
        <f t="shared" si="27"/>
        <v>T4-2023</v>
      </c>
    </row>
    <row r="430" spans="1:13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 t="str">
        <f t="shared" si="24"/>
        <v>60+</v>
      </c>
      <c r="K430" t="str">
        <f t="shared" si="25"/>
        <v>jueves-12</v>
      </c>
      <c r="L430">
        <f t="shared" si="26"/>
        <v>2023</v>
      </c>
      <c r="M430" s="2" t="str">
        <f t="shared" si="27"/>
        <v>T4-2023</v>
      </c>
    </row>
    <row r="431" spans="1:13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 t="str">
        <f t="shared" si="24"/>
        <v>60+</v>
      </c>
      <c r="K431" t="str">
        <f t="shared" si="25"/>
        <v>lunes-08</v>
      </c>
      <c r="L431">
        <f t="shared" si="26"/>
        <v>2023</v>
      </c>
      <c r="M431" s="2" t="str">
        <f t="shared" si="27"/>
        <v>T3-2023</v>
      </c>
    </row>
    <row r="432" spans="1:13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 t="str">
        <f t="shared" si="24"/>
        <v>60+</v>
      </c>
      <c r="K432" t="str">
        <f t="shared" si="25"/>
        <v>domingo-10</v>
      </c>
      <c r="L432">
        <f t="shared" si="26"/>
        <v>2023</v>
      </c>
      <c r="M432" s="2" t="str">
        <f t="shared" si="27"/>
        <v>T4-2023</v>
      </c>
    </row>
    <row r="433" spans="1:13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 t="str">
        <f t="shared" si="24"/>
        <v>60+</v>
      </c>
      <c r="K433" t="str">
        <f t="shared" si="25"/>
        <v>jueves-01</v>
      </c>
      <c r="L433">
        <f t="shared" si="26"/>
        <v>2023</v>
      </c>
      <c r="M433" s="2" t="str">
        <f t="shared" si="27"/>
        <v>T1-2023</v>
      </c>
    </row>
    <row r="434" spans="1:13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 t="str">
        <f t="shared" si="24"/>
        <v>60+</v>
      </c>
      <c r="K434" t="str">
        <f t="shared" si="25"/>
        <v>lunes-02</v>
      </c>
      <c r="L434">
        <f t="shared" si="26"/>
        <v>2023</v>
      </c>
      <c r="M434" s="2" t="str">
        <f t="shared" si="27"/>
        <v>T1-2023</v>
      </c>
    </row>
    <row r="435" spans="1:13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 t="str">
        <f t="shared" si="24"/>
        <v>60+</v>
      </c>
      <c r="K435" t="str">
        <f t="shared" si="25"/>
        <v>miércoles-02</v>
      </c>
      <c r="L435">
        <f t="shared" si="26"/>
        <v>2023</v>
      </c>
      <c r="M435" s="2" t="str">
        <f t="shared" si="27"/>
        <v>T1-2023</v>
      </c>
    </row>
    <row r="436" spans="1:13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 t="str">
        <f t="shared" si="24"/>
        <v>60+</v>
      </c>
      <c r="K436" t="str">
        <f t="shared" si="25"/>
        <v>miércoles-12</v>
      </c>
      <c r="L436">
        <f t="shared" si="26"/>
        <v>2023</v>
      </c>
      <c r="M436" s="2" t="str">
        <f t="shared" si="27"/>
        <v>T4-2023</v>
      </c>
    </row>
    <row r="437" spans="1:13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 t="str">
        <f t="shared" si="24"/>
        <v>60+</v>
      </c>
      <c r="K437" t="str">
        <f t="shared" si="25"/>
        <v>sábado-03</v>
      </c>
      <c r="L437">
        <f t="shared" si="26"/>
        <v>2023</v>
      </c>
      <c r="M437" s="2" t="str">
        <f t="shared" si="27"/>
        <v>T1-2023</v>
      </c>
    </row>
    <row r="438" spans="1:13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 t="str">
        <f t="shared" si="24"/>
        <v>60+</v>
      </c>
      <c r="K438" t="str">
        <f t="shared" si="25"/>
        <v>sábado-10</v>
      </c>
      <c r="L438">
        <f t="shared" si="26"/>
        <v>2023</v>
      </c>
      <c r="M438" s="2" t="str">
        <f t="shared" si="27"/>
        <v>T4-2023</v>
      </c>
    </row>
    <row r="439" spans="1:13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 t="str">
        <f t="shared" si="24"/>
        <v>60+</v>
      </c>
      <c r="K439" t="str">
        <f t="shared" si="25"/>
        <v>jueves-01</v>
      </c>
      <c r="L439">
        <f t="shared" si="26"/>
        <v>2023</v>
      </c>
      <c r="M439" s="2" t="str">
        <f t="shared" si="27"/>
        <v>T1-2023</v>
      </c>
    </row>
    <row r="440" spans="1:13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 t="str">
        <f t="shared" si="24"/>
        <v>60+</v>
      </c>
      <c r="K440" t="str">
        <f t="shared" si="25"/>
        <v>domingo-07</v>
      </c>
      <c r="L440">
        <f t="shared" si="26"/>
        <v>2023</v>
      </c>
      <c r="M440" s="2" t="str">
        <f t="shared" si="27"/>
        <v>T3-2023</v>
      </c>
    </row>
    <row r="441" spans="1:13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 t="str">
        <f t="shared" si="24"/>
        <v>60+</v>
      </c>
      <c r="K441" t="str">
        <f t="shared" si="25"/>
        <v>jueves-10</v>
      </c>
      <c r="L441">
        <f t="shared" si="26"/>
        <v>2023</v>
      </c>
      <c r="M441" s="2" t="str">
        <f t="shared" si="27"/>
        <v>T4-2023</v>
      </c>
    </row>
    <row r="442" spans="1:13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 t="str">
        <f t="shared" si="24"/>
        <v>60+</v>
      </c>
      <c r="K442" t="str">
        <f t="shared" si="25"/>
        <v>martes-10</v>
      </c>
      <c r="L442">
        <f t="shared" si="26"/>
        <v>2023</v>
      </c>
      <c r="M442" s="2" t="str">
        <f t="shared" si="27"/>
        <v>T4-2023</v>
      </c>
    </row>
    <row r="443" spans="1:13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 t="str">
        <f t="shared" si="24"/>
        <v>60+</v>
      </c>
      <c r="K443" t="str">
        <f t="shared" si="25"/>
        <v>viernes-03</v>
      </c>
      <c r="L443">
        <f t="shared" si="26"/>
        <v>2023</v>
      </c>
      <c r="M443" s="2" t="str">
        <f t="shared" si="27"/>
        <v>T1-2023</v>
      </c>
    </row>
    <row r="444" spans="1:13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 t="str">
        <f t="shared" si="24"/>
        <v>60+</v>
      </c>
      <c r="K444" t="str">
        <f t="shared" si="25"/>
        <v>miércoles-08</v>
      </c>
      <c r="L444">
        <f t="shared" si="26"/>
        <v>2023</v>
      </c>
      <c r="M444" s="2" t="str">
        <f t="shared" si="27"/>
        <v>T3-2023</v>
      </c>
    </row>
    <row r="445" spans="1:13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 t="str">
        <f t="shared" si="24"/>
        <v>60+</v>
      </c>
      <c r="K445" t="str">
        <f t="shared" si="25"/>
        <v>martes-03</v>
      </c>
      <c r="L445">
        <f t="shared" si="26"/>
        <v>2023</v>
      </c>
      <c r="M445" s="2" t="str">
        <f t="shared" si="27"/>
        <v>T1-2023</v>
      </c>
    </row>
    <row r="446" spans="1:13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 t="str">
        <f t="shared" si="24"/>
        <v>60+</v>
      </c>
      <c r="K446" t="str">
        <f t="shared" si="25"/>
        <v>domingo-01</v>
      </c>
      <c r="L446">
        <f t="shared" si="26"/>
        <v>2023</v>
      </c>
      <c r="M446" s="2" t="str">
        <f t="shared" si="27"/>
        <v>T1-2023</v>
      </c>
    </row>
    <row r="447" spans="1:13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 t="str">
        <f t="shared" si="24"/>
        <v>60+</v>
      </c>
      <c r="K447" t="str">
        <f t="shared" si="25"/>
        <v>miércoles-06</v>
      </c>
      <c r="L447">
        <f t="shared" si="26"/>
        <v>2023</v>
      </c>
      <c r="M447" s="2" t="str">
        <f t="shared" si="27"/>
        <v>T2-2023</v>
      </c>
    </row>
    <row r="448" spans="1:13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 t="str">
        <f t="shared" si="24"/>
        <v>60+</v>
      </c>
      <c r="K448" t="str">
        <f t="shared" si="25"/>
        <v>jueves-07</v>
      </c>
      <c r="L448">
        <f t="shared" si="26"/>
        <v>2023</v>
      </c>
      <c r="M448" s="2" t="str">
        <f t="shared" si="27"/>
        <v>T3-2023</v>
      </c>
    </row>
    <row r="449" spans="1:13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 t="str">
        <f t="shared" si="24"/>
        <v>60+</v>
      </c>
      <c r="K449" t="str">
        <f t="shared" si="25"/>
        <v>sábado-01</v>
      </c>
      <c r="L449">
        <f t="shared" si="26"/>
        <v>2023</v>
      </c>
      <c r="M449" s="2" t="str">
        <f t="shared" si="27"/>
        <v>T1-2023</v>
      </c>
    </row>
    <row r="450" spans="1:13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 t="str">
        <f t="shared" ref="J450:J513" si="28">IF(D450&lt;30,"18-29",IF(D450&lt;45,"30-44",IF(D450&lt;60,"45-59","60+")))</f>
        <v>60+</v>
      </c>
      <c r="K450" t="str">
        <f t="shared" ref="K450:K513" si="29">TEXT(B450,"AAAA-MM")</f>
        <v>lunes-07</v>
      </c>
      <c r="L450">
        <f t="shared" ref="L450:L513" si="30">YEAR(B450)</f>
        <v>2023</v>
      </c>
      <c r="M450" s="2" t="str">
        <f t="shared" ref="M450:M513" si="31">"T"&amp;INT((MONTH(B450)-1)/3+1)&amp;"-"&amp;YEAR(B450)</f>
        <v>T3-2023</v>
      </c>
    </row>
    <row r="451" spans="1:13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 t="str">
        <f t="shared" si="28"/>
        <v>60+</v>
      </c>
      <c r="K451" t="str">
        <f t="shared" si="29"/>
        <v>martes-04</v>
      </c>
      <c r="L451">
        <f t="shared" si="30"/>
        <v>2023</v>
      </c>
      <c r="M451" s="2" t="str">
        <f t="shared" si="31"/>
        <v>T2-2023</v>
      </c>
    </row>
    <row r="452" spans="1:13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 t="str">
        <f t="shared" si="28"/>
        <v>60+</v>
      </c>
      <c r="K452" t="str">
        <f t="shared" si="29"/>
        <v>sábado-12</v>
      </c>
      <c r="L452">
        <f t="shared" si="30"/>
        <v>2023</v>
      </c>
      <c r="M452" s="2" t="str">
        <f t="shared" si="31"/>
        <v>T4-2023</v>
      </c>
    </row>
    <row r="453" spans="1:13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 t="str">
        <f t="shared" si="28"/>
        <v>60+</v>
      </c>
      <c r="K453" t="str">
        <f t="shared" si="29"/>
        <v>lunes-05</v>
      </c>
      <c r="L453">
        <f t="shared" si="30"/>
        <v>2023</v>
      </c>
      <c r="M453" s="2" t="str">
        <f t="shared" si="31"/>
        <v>T2-2023</v>
      </c>
    </row>
    <row r="454" spans="1:13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 t="str">
        <f t="shared" si="28"/>
        <v>60+</v>
      </c>
      <c r="K454" t="str">
        <f t="shared" si="29"/>
        <v>viernes-12</v>
      </c>
      <c r="L454">
        <f t="shared" si="30"/>
        <v>2023</v>
      </c>
      <c r="M454" s="2" t="str">
        <f t="shared" si="31"/>
        <v>T4-2023</v>
      </c>
    </row>
    <row r="455" spans="1:13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 t="str">
        <f t="shared" si="28"/>
        <v>60+</v>
      </c>
      <c r="K455" t="str">
        <f t="shared" si="29"/>
        <v>miércoles-02</v>
      </c>
      <c r="L455">
        <f t="shared" si="30"/>
        <v>2023</v>
      </c>
      <c r="M455" s="2" t="str">
        <f t="shared" si="31"/>
        <v>T1-2023</v>
      </c>
    </row>
    <row r="456" spans="1:13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 t="str">
        <f t="shared" si="28"/>
        <v>60+</v>
      </c>
      <c r="K456" t="str">
        <f t="shared" si="29"/>
        <v>sábado-07</v>
      </c>
      <c r="L456">
        <f t="shared" si="30"/>
        <v>2023</v>
      </c>
      <c r="M456" s="2" t="str">
        <f t="shared" si="31"/>
        <v>T3-2023</v>
      </c>
    </row>
    <row r="457" spans="1:13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 t="str">
        <f t="shared" si="28"/>
        <v>60+</v>
      </c>
      <c r="K457" t="str">
        <f t="shared" si="29"/>
        <v>sábado-10</v>
      </c>
      <c r="L457">
        <f t="shared" si="30"/>
        <v>2023</v>
      </c>
      <c r="M457" s="2" t="str">
        <f t="shared" si="31"/>
        <v>T4-2023</v>
      </c>
    </row>
    <row r="458" spans="1:13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 t="str">
        <f t="shared" si="28"/>
        <v>60+</v>
      </c>
      <c r="K458" t="str">
        <f t="shared" si="29"/>
        <v>viernes-07</v>
      </c>
      <c r="L458">
        <f t="shared" si="30"/>
        <v>2023</v>
      </c>
      <c r="M458" s="2" t="str">
        <f t="shared" si="31"/>
        <v>T3-2023</v>
      </c>
    </row>
    <row r="459" spans="1:13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 t="str">
        <f t="shared" si="28"/>
        <v>60+</v>
      </c>
      <c r="K459" t="str">
        <f t="shared" si="29"/>
        <v>martes-11</v>
      </c>
      <c r="L459">
        <f t="shared" si="30"/>
        <v>2023</v>
      </c>
      <c r="M459" s="2" t="str">
        <f t="shared" si="31"/>
        <v>T4-2023</v>
      </c>
    </row>
    <row r="460" spans="1:13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 t="str">
        <f t="shared" si="28"/>
        <v>60+</v>
      </c>
      <c r="K460" t="str">
        <f t="shared" si="29"/>
        <v>martes-03</v>
      </c>
      <c r="L460">
        <f t="shared" si="30"/>
        <v>2023</v>
      </c>
      <c r="M460" s="2" t="str">
        <f t="shared" si="31"/>
        <v>T1-2023</v>
      </c>
    </row>
    <row r="461" spans="1:13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 t="str">
        <f t="shared" si="28"/>
        <v>60+</v>
      </c>
      <c r="K461" t="str">
        <f t="shared" si="29"/>
        <v>martes-05</v>
      </c>
      <c r="L461">
        <f t="shared" si="30"/>
        <v>2023</v>
      </c>
      <c r="M461" s="2" t="str">
        <f t="shared" si="31"/>
        <v>T2-2023</v>
      </c>
    </row>
    <row r="462" spans="1:13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 t="str">
        <f t="shared" si="28"/>
        <v>60+</v>
      </c>
      <c r="K462" t="str">
        <f t="shared" si="29"/>
        <v>sábado-03</v>
      </c>
      <c r="L462">
        <f t="shared" si="30"/>
        <v>2023</v>
      </c>
      <c r="M462" s="2" t="str">
        <f t="shared" si="31"/>
        <v>T1-2023</v>
      </c>
    </row>
    <row r="463" spans="1:13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 t="str">
        <f t="shared" si="28"/>
        <v>60+</v>
      </c>
      <c r="K463" t="str">
        <f t="shared" si="29"/>
        <v>sábado-04</v>
      </c>
      <c r="L463">
        <f t="shared" si="30"/>
        <v>2023</v>
      </c>
      <c r="M463" s="2" t="str">
        <f t="shared" si="31"/>
        <v>T2-2023</v>
      </c>
    </row>
    <row r="464" spans="1:13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 t="str">
        <f t="shared" si="28"/>
        <v>60+</v>
      </c>
      <c r="K464" t="str">
        <f t="shared" si="29"/>
        <v>lunes-07</v>
      </c>
      <c r="L464">
        <f t="shared" si="30"/>
        <v>2023</v>
      </c>
      <c r="M464" s="2" t="str">
        <f t="shared" si="31"/>
        <v>T3-2023</v>
      </c>
    </row>
    <row r="465" spans="1:13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 t="str">
        <f t="shared" si="28"/>
        <v>60+</v>
      </c>
      <c r="K465" t="str">
        <f t="shared" si="29"/>
        <v>viernes-01</v>
      </c>
      <c r="L465">
        <f t="shared" si="30"/>
        <v>2023</v>
      </c>
      <c r="M465" s="2" t="str">
        <f t="shared" si="31"/>
        <v>T1-2023</v>
      </c>
    </row>
    <row r="466" spans="1:13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 t="str">
        <f t="shared" si="28"/>
        <v>60+</v>
      </c>
      <c r="K466" t="str">
        <f t="shared" si="29"/>
        <v>domingo-04</v>
      </c>
      <c r="L466">
        <f t="shared" si="30"/>
        <v>2023</v>
      </c>
      <c r="M466" s="2" t="str">
        <f t="shared" si="31"/>
        <v>T2-2023</v>
      </c>
    </row>
    <row r="467" spans="1:13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 t="str">
        <f t="shared" si="28"/>
        <v>60+</v>
      </c>
      <c r="K467" t="str">
        <f t="shared" si="29"/>
        <v>martes-06</v>
      </c>
      <c r="L467">
        <f t="shared" si="30"/>
        <v>2023</v>
      </c>
      <c r="M467" s="2" t="str">
        <f t="shared" si="31"/>
        <v>T2-2023</v>
      </c>
    </row>
    <row r="468" spans="1:13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 t="str">
        <f t="shared" si="28"/>
        <v>60+</v>
      </c>
      <c r="K468" t="str">
        <f t="shared" si="29"/>
        <v>domingo-07</v>
      </c>
      <c r="L468">
        <f t="shared" si="30"/>
        <v>2023</v>
      </c>
      <c r="M468" s="2" t="str">
        <f t="shared" si="31"/>
        <v>T3-2023</v>
      </c>
    </row>
    <row r="469" spans="1:13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 t="str">
        <f t="shared" si="28"/>
        <v>60+</v>
      </c>
      <c r="K469" t="str">
        <f t="shared" si="29"/>
        <v>sábado-12</v>
      </c>
      <c r="L469">
        <f t="shared" si="30"/>
        <v>2023</v>
      </c>
      <c r="M469" s="2" t="str">
        <f t="shared" si="31"/>
        <v>T4-2023</v>
      </c>
    </row>
    <row r="470" spans="1:13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 t="str">
        <f t="shared" si="28"/>
        <v>60+</v>
      </c>
      <c r="K470" t="str">
        <f t="shared" si="29"/>
        <v>lunes-05</v>
      </c>
      <c r="L470">
        <f t="shared" si="30"/>
        <v>2023</v>
      </c>
      <c r="M470" s="2" t="str">
        <f t="shared" si="31"/>
        <v>T2-2023</v>
      </c>
    </row>
    <row r="471" spans="1:13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 t="str">
        <f t="shared" si="28"/>
        <v>60+</v>
      </c>
      <c r="K471" t="str">
        <f t="shared" si="29"/>
        <v>miércoles-05</v>
      </c>
      <c r="L471">
        <f t="shared" si="30"/>
        <v>2023</v>
      </c>
      <c r="M471" s="2" t="str">
        <f t="shared" si="31"/>
        <v>T2-2023</v>
      </c>
    </row>
    <row r="472" spans="1:13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 t="str">
        <f t="shared" si="28"/>
        <v>60+</v>
      </c>
      <c r="K472" t="str">
        <f t="shared" si="29"/>
        <v>jueves-03</v>
      </c>
      <c r="L472">
        <f t="shared" si="30"/>
        <v>2023</v>
      </c>
      <c r="M472" s="2" t="str">
        <f t="shared" si="31"/>
        <v>T1-2023</v>
      </c>
    </row>
    <row r="473" spans="1:13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 t="str">
        <f t="shared" si="28"/>
        <v>60+</v>
      </c>
      <c r="K473" t="str">
        <f t="shared" si="29"/>
        <v>martes-12</v>
      </c>
      <c r="L473">
        <f t="shared" si="30"/>
        <v>2023</v>
      </c>
      <c r="M473" s="2" t="str">
        <f t="shared" si="31"/>
        <v>T4-2023</v>
      </c>
    </row>
    <row r="474" spans="1:13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 t="str">
        <f t="shared" si="28"/>
        <v>60+</v>
      </c>
      <c r="K474" t="str">
        <f t="shared" si="29"/>
        <v>sábado-02</v>
      </c>
      <c r="L474">
        <f t="shared" si="30"/>
        <v>2023</v>
      </c>
      <c r="M474" s="2" t="str">
        <f t="shared" si="31"/>
        <v>T1-2023</v>
      </c>
    </row>
    <row r="475" spans="1:13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 t="str">
        <f t="shared" si="28"/>
        <v>60+</v>
      </c>
      <c r="K475" t="str">
        <f t="shared" si="29"/>
        <v>sábado-07</v>
      </c>
      <c r="L475">
        <f t="shared" si="30"/>
        <v>2023</v>
      </c>
      <c r="M475" s="2" t="str">
        <f t="shared" si="31"/>
        <v>T3-2023</v>
      </c>
    </row>
    <row r="476" spans="1:13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 t="str">
        <f t="shared" si="28"/>
        <v>60+</v>
      </c>
      <c r="K476" t="str">
        <f t="shared" si="29"/>
        <v>viernes-01</v>
      </c>
      <c r="L476">
        <f t="shared" si="30"/>
        <v>2023</v>
      </c>
      <c r="M476" s="2" t="str">
        <f t="shared" si="31"/>
        <v>T1-2023</v>
      </c>
    </row>
    <row r="477" spans="1:13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 t="str">
        <f t="shared" si="28"/>
        <v>60+</v>
      </c>
      <c r="K477" t="str">
        <f t="shared" si="29"/>
        <v>martes-08</v>
      </c>
      <c r="L477">
        <f t="shared" si="30"/>
        <v>2023</v>
      </c>
      <c r="M477" s="2" t="str">
        <f t="shared" si="31"/>
        <v>T3-2023</v>
      </c>
    </row>
    <row r="478" spans="1:13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 t="str">
        <f t="shared" si="28"/>
        <v>60+</v>
      </c>
      <c r="K478" t="str">
        <f t="shared" si="29"/>
        <v>lunes-04</v>
      </c>
      <c r="L478">
        <f t="shared" si="30"/>
        <v>2023</v>
      </c>
      <c r="M478" s="2" t="str">
        <f t="shared" si="31"/>
        <v>T2-2023</v>
      </c>
    </row>
    <row r="479" spans="1:13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 t="str">
        <f t="shared" si="28"/>
        <v>60+</v>
      </c>
      <c r="K479" t="str">
        <f t="shared" si="29"/>
        <v>jueves-04</v>
      </c>
      <c r="L479">
        <f t="shared" si="30"/>
        <v>2023</v>
      </c>
      <c r="M479" s="2" t="str">
        <f t="shared" si="31"/>
        <v>T2-2023</v>
      </c>
    </row>
    <row r="480" spans="1:13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 t="str">
        <f t="shared" si="28"/>
        <v>60+</v>
      </c>
      <c r="K480" t="str">
        <f t="shared" si="29"/>
        <v>jueves-08</v>
      </c>
      <c r="L480">
        <f t="shared" si="30"/>
        <v>2023</v>
      </c>
      <c r="M480" s="2" t="str">
        <f t="shared" si="31"/>
        <v>T3-2023</v>
      </c>
    </row>
    <row r="481" spans="1:13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 t="str">
        <f t="shared" si="28"/>
        <v>60+</v>
      </c>
      <c r="K481" t="str">
        <f t="shared" si="29"/>
        <v>jueves-06</v>
      </c>
      <c r="L481">
        <f t="shared" si="30"/>
        <v>2023</v>
      </c>
      <c r="M481" s="2" t="str">
        <f t="shared" si="31"/>
        <v>T2-2023</v>
      </c>
    </row>
    <row r="482" spans="1:13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 t="str">
        <f t="shared" si="28"/>
        <v>60+</v>
      </c>
      <c r="K482" t="str">
        <f t="shared" si="29"/>
        <v>martes-06</v>
      </c>
      <c r="L482">
        <f t="shared" si="30"/>
        <v>2023</v>
      </c>
      <c r="M482" s="2" t="str">
        <f t="shared" si="31"/>
        <v>T2-2023</v>
      </c>
    </row>
    <row r="483" spans="1:13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 t="str">
        <f t="shared" si="28"/>
        <v>60+</v>
      </c>
      <c r="K483" t="str">
        <f t="shared" si="29"/>
        <v>jueves-04</v>
      </c>
      <c r="L483">
        <f t="shared" si="30"/>
        <v>2023</v>
      </c>
      <c r="M483" s="2" t="str">
        <f t="shared" si="31"/>
        <v>T2-2023</v>
      </c>
    </row>
    <row r="484" spans="1:13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 t="str">
        <f t="shared" si="28"/>
        <v>60+</v>
      </c>
      <c r="K484" t="str">
        <f t="shared" si="29"/>
        <v>martes-04</v>
      </c>
      <c r="L484">
        <f t="shared" si="30"/>
        <v>2023</v>
      </c>
      <c r="M484" s="2" t="str">
        <f t="shared" si="31"/>
        <v>T2-2023</v>
      </c>
    </row>
    <row r="485" spans="1:13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 t="str">
        <f t="shared" si="28"/>
        <v>60+</v>
      </c>
      <c r="K485" t="str">
        <f t="shared" si="29"/>
        <v>viernes-01</v>
      </c>
      <c r="L485">
        <f t="shared" si="30"/>
        <v>2023</v>
      </c>
      <c r="M485" s="2" t="str">
        <f t="shared" si="31"/>
        <v>T1-2023</v>
      </c>
    </row>
    <row r="486" spans="1:13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 t="str">
        <f t="shared" si="28"/>
        <v>60+</v>
      </c>
      <c r="K486" t="str">
        <f t="shared" si="29"/>
        <v>lunes-12</v>
      </c>
      <c r="L486">
        <f t="shared" si="30"/>
        <v>2023</v>
      </c>
      <c r="M486" s="2" t="str">
        <f t="shared" si="31"/>
        <v>T4-2023</v>
      </c>
    </row>
    <row r="487" spans="1:13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 t="str">
        <f t="shared" si="28"/>
        <v>60+</v>
      </c>
      <c r="K487" t="str">
        <f t="shared" si="29"/>
        <v>domingo-04</v>
      </c>
      <c r="L487">
        <f t="shared" si="30"/>
        <v>2023</v>
      </c>
      <c r="M487" s="2" t="str">
        <f t="shared" si="31"/>
        <v>T2-2023</v>
      </c>
    </row>
    <row r="488" spans="1:13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 t="str">
        <f t="shared" si="28"/>
        <v>60+</v>
      </c>
      <c r="K488" t="str">
        <f t="shared" si="29"/>
        <v>lunes-07</v>
      </c>
      <c r="L488">
        <f t="shared" si="30"/>
        <v>2023</v>
      </c>
      <c r="M488" s="2" t="str">
        <f t="shared" si="31"/>
        <v>T3-2023</v>
      </c>
    </row>
    <row r="489" spans="1:13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 t="str">
        <f t="shared" si="28"/>
        <v>60+</v>
      </c>
      <c r="K489" t="str">
        <f t="shared" si="29"/>
        <v>domingo-06</v>
      </c>
      <c r="L489">
        <f t="shared" si="30"/>
        <v>2023</v>
      </c>
      <c r="M489" s="2" t="str">
        <f t="shared" si="31"/>
        <v>T2-2023</v>
      </c>
    </row>
    <row r="490" spans="1:13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 t="str">
        <f t="shared" si="28"/>
        <v>60+</v>
      </c>
      <c r="K490" t="str">
        <f t="shared" si="29"/>
        <v>martes-05</v>
      </c>
      <c r="L490">
        <f t="shared" si="30"/>
        <v>2023</v>
      </c>
      <c r="M490" s="2" t="str">
        <f t="shared" si="31"/>
        <v>T2-2023</v>
      </c>
    </row>
    <row r="491" spans="1:13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 t="str">
        <f t="shared" si="28"/>
        <v>60+</v>
      </c>
      <c r="K491" t="str">
        <f t="shared" si="29"/>
        <v>domingo-02</v>
      </c>
      <c r="L491">
        <f t="shared" si="30"/>
        <v>2023</v>
      </c>
      <c r="M491" s="2" t="str">
        <f t="shared" si="31"/>
        <v>T1-2023</v>
      </c>
    </row>
    <row r="492" spans="1:13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 t="str">
        <f t="shared" si="28"/>
        <v>60+</v>
      </c>
      <c r="K492" t="str">
        <f t="shared" si="29"/>
        <v>martes-05</v>
      </c>
      <c r="L492">
        <f t="shared" si="30"/>
        <v>2023</v>
      </c>
      <c r="M492" s="2" t="str">
        <f t="shared" si="31"/>
        <v>T2-2023</v>
      </c>
    </row>
    <row r="493" spans="1:13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 t="str">
        <f t="shared" si="28"/>
        <v>60+</v>
      </c>
      <c r="K493" t="str">
        <f t="shared" si="29"/>
        <v>jueves-06</v>
      </c>
      <c r="L493">
        <f t="shared" si="30"/>
        <v>2023</v>
      </c>
      <c r="M493" s="2" t="str">
        <f t="shared" si="31"/>
        <v>T2-2023</v>
      </c>
    </row>
    <row r="494" spans="1:13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 t="str">
        <f t="shared" si="28"/>
        <v>60+</v>
      </c>
      <c r="K494" t="str">
        <f t="shared" si="29"/>
        <v>sábado-11</v>
      </c>
      <c r="L494">
        <f t="shared" si="30"/>
        <v>2023</v>
      </c>
      <c r="M494" s="2" t="str">
        <f t="shared" si="31"/>
        <v>T4-2023</v>
      </c>
    </row>
    <row r="495" spans="1:13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 t="str">
        <f t="shared" si="28"/>
        <v>60+</v>
      </c>
      <c r="K495" t="str">
        <f t="shared" si="29"/>
        <v>lunes-09</v>
      </c>
      <c r="L495">
        <f t="shared" si="30"/>
        <v>2023</v>
      </c>
      <c r="M495" s="2" t="str">
        <f t="shared" si="31"/>
        <v>T3-2023</v>
      </c>
    </row>
    <row r="496" spans="1:13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 t="str">
        <f t="shared" si="28"/>
        <v>60+</v>
      </c>
      <c r="K496" t="str">
        <f t="shared" si="29"/>
        <v>lunes-07</v>
      </c>
      <c r="L496">
        <f t="shared" si="30"/>
        <v>2023</v>
      </c>
      <c r="M496" s="2" t="str">
        <f t="shared" si="31"/>
        <v>T3-2023</v>
      </c>
    </row>
    <row r="497" spans="1:13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 t="str">
        <f t="shared" si="28"/>
        <v>60+</v>
      </c>
      <c r="K497" t="str">
        <f t="shared" si="29"/>
        <v>jueves-12</v>
      </c>
      <c r="L497">
        <f t="shared" si="30"/>
        <v>2023</v>
      </c>
      <c r="M497" s="2" t="str">
        <f t="shared" si="31"/>
        <v>T4-2023</v>
      </c>
    </row>
    <row r="498" spans="1:13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 t="str">
        <f t="shared" si="28"/>
        <v>60+</v>
      </c>
      <c r="K498" t="str">
        <f t="shared" si="29"/>
        <v>lunes-10</v>
      </c>
      <c r="L498">
        <f t="shared" si="30"/>
        <v>2023</v>
      </c>
      <c r="M498" s="2" t="str">
        <f t="shared" si="31"/>
        <v>T4-2023</v>
      </c>
    </row>
    <row r="499" spans="1:13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 t="str">
        <f t="shared" si="28"/>
        <v>60+</v>
      </c>
      <c r="K499" t="str">
        <f t="shared" si="29"/>
        <v>lunes-06</v>
      </c>
      <c r="L499">
        <f t="shared" si="30"/>
        <v>2023</v>
      </c>
      <c r="M499" s="2" t="str">
        <f t="shared" si="31"/>
        <v>T2-2023</v>
      </c>
    </row>
    <row r="500" spans="1:13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 t="str">
        <f t="shared" si="28"/>
        <v>60+</v>
      </c>
      <c r="K500" t="str">
        <f t="shared" si="29"/>
        <v>domingo-01</v>
      </c>
      <c r="L500">
        <f t="shared" si="30"/>
        <v>2023</v>
      </c>
      <c r="M500" s="2" t="str">
        <f t="shared" si="31"/>
        <v>T1-2023</v>
      </c>
    </row>
    <row r="501" spans="1:13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 t="str">
        <f t="shared" si="28"/>
        <v>60+</v>
      </c>
      <c r="K501" t="str">
        <f t="shared" si="29"/>
        <v>miércoles-03</v>
      </c>
      <c r="L501">
        <f t="shared" si="30"/>
        <v>2023</v>
      </c>
      <c r="M501" s="2" t="str">
        <f t="shared" si="31"/>
        <v>T1-2023</v>
      </c>
    </row>
    <row r="502" spans="1:13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 t="str">
        <f t="shared" si="28"/>
        <v>60+</v>
      </c>
      <c r="K502" t="str">
        <f t="shared" si="29"/>
        <v>domingo-05</v>
      </c>
      <c r="L502">
        <f t="shared" si="30"/>
        <v>2023</v>
      </c>
      <c r="M502" s="2" t="str">
        <f t="shared" si="31"/>
        <v>T2-2023</v>
      </c>
    </row>
    <row r="503" spans="1:13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 t="str">
        <f t="shared" si="28"/>
        <v>60+</v>
      </c>
      <c r="K503" t="str">
        <f t="shared" si="29"/>
        <v>domingo-04</v>
      </c>
      <c r="L503">
        <f t="shared" si="30"/>
        <v>2023</v>
      </c>
      <c r="M503" s="2" t="str">
        <f t="shared" si="31"/>
        <v>T2-2023</v>
      </c>
    </row>
    <row r="504" spans="1:13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 t="str">
        <f t="shared" si="28"/>
        <v>60+</v>
      </c>
      <c r="K504" t="str">
        <f t="shared" si="29"/>
        <v>miércoles-10</v>
      </c>
      <c r="L504">
        <f t="shared" si="30"/>
        <v>2023</v>
      </c>
      <c r="M504" s="2" t="str">
        <f t="shared" si="31"/>
        <v>T4-2023</v>
      </c>
    </row>
    <row r="505" spans="1:13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 t="str">
        <f t="shared" si="28"/>
        <v>60+</v>
      </c>
      <c r="K505" t="str">
        <f t="shared" si="29"/>
        <v>martes-05</v>
      </c>
      <c r="L505">
        <f t="shared" si="30"/>
        <v>2023</v>
      </c>
      <c r="M505" s="2" t="str">
        <f t="shared" si="31"/>
        <v>T2-2023</v>
      </c>
    </row>
    <row r="506" spans="1:13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 t="str">
        <f t="shared" si="28"/>
        <v>60+</v>
      </c>
      <c r="K506" t="str">
        <f t="shared" si="29"/>
        <v>viernes-01</v>
      </c>
      <c r="L506">
        <f t="shared" si="30"/>
        <v>2023</v>
      </c>
      <c r="M506" s="2" t="str">
        <f t="shared" si="31"/>
        <v>T1-2023</v>
      </c>
    </row>
    <row r="507" spans="1:13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 t="str">
        <f t="shared" si="28"/>
        <v>60+</v>
      </c>
      <c r="K507" t="str">
        <f t="shared" si="29"/>
        <v>sábado-02</v>
      </c>
      <c r="L507">
        <f t="shared" si="30"/>
        <v>2023</v>
      </c>
      <c r="M507" s="2" t="str">
        <f t="shared" si="31"/>
        <v>T1-2023</v>
      </c>
    </row>
    <row r="508" spans="1:13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 t="str">
        <f t="shared" si="28"/>
        <v>60+</v>
      </c>
      <c r="K508" t="str">
        <f t="shared" si="29"/>
        <v>jueves-11</v>
      </c>
      <c r="L508">
        <f t="shared" si="30"/>
        <v>2023</v>
      </c>
      <c r="M508" s="2" t="str">
        <f t="shared" si="31"/>
        <v>T4-2023</v>
      </c>
    </row>
    <row r="509" spans="1:13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 t="str">
        <f t="shared" si="28"/>
        <v>60+</v>
      </c>
      <c r="K509" t="str">
        <f t="shared" si="29"/>
        <v>viernes-08</v>
      </c>
      <c r="L509">
        <f t="shared" si="30"/>
        <v>2023</v>
      </c>
      <c r="M509" s="2" t="str">
        <f t="shared" si="31"/>
        <v>T3-2023</v>
      </c>
    </row>
    <row r="510" spans="1:13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 t="str">
        <f t="shared" si="28"/>
        <v>60+</v>
      </c>
      <c r="K510" t="str">
        <f t="shared" si="29"/>
        <v>lunes-06</v>
      </c>
      <c r="L510">
        <f t="shared" si="30"/>
        <v>2023</v>
      </c>
      <c r="M510" s="2" t="str">
        <f t="shared" si="31"/>
        <v>T2-2023</v>
      </c>
    </row>
    <row r="511" spans="1:13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 t="str">
        <f t="shared" si="28"/>
        <v>60+</v>
      </c>
      <c r="K511" t="str">
        <f t="shared" si="29"/>
        <v>sábado-06</v>
      </c>
      <c r="L511">
        <f t="shared" si="30"/>
        <v>2023</v>
      </c>
      <c r="M511" s="2" t="str">
        <f t="shared" si="31"/>
        <v>T2-2023</v>
      </c>
    </row>
    <row r="512" spans="1:13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 t="str">
        <f t="shared" si="28"/>
        <v>60+</v>
      </c>
      <c r="K512" t="str">
        <f t="shared" si="29"/>
        <v>sábado-08</v>
      </c>
      <c r="L512">
        <f t="shared" si="30"/>
        <v>2023</v>
      </c>
      <c r="M512" s="2" t="str">
        <f t="shared" si="31"/>
        <v>T3-2023</v>
      </c>
    </row>
    <row r="513" spans="1:13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 t="str">
        <f t="shared" si="28"/>
        <v>60+</v>
      </c>
      <c r="K513" t="str">
        <f t="shared" si="29"/>
        <v>martes-11</v>
      </c>
      <c r="L513">
        <f t="shared" si="30"/>
        <v>2023</v>
      </c>
      <c r="M513" s="2" t="str">
        <f t="shared" si="31"/>
        <v>T4-2023</v>
      </c>
    </row>
    <row r="514" spans="1:13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 t="str">
        <f t="shared" ref="J514:J577" si="32">IF(D514&lt;30,"18-29",IF(D514&lt;45,"30-44",IF(D514&lt;60,"45-59","60+")))</f>
        <v>60+</v>
      </c>
      <c r="K514" t="str">
        <f t="shared" ref="K514:K577" si="33">TEXT(B514,"AAAA-MM")</f>
        <v>martes-09</v>
      </c>
      <c r="L514">
        <f t="shared" ref="L514:L577" si="34">YEAR(B514)</f>
        <v>2023</v>
      </c>
      <c r="M514" s="2" t="str">
        <f t="shared" ref="M514:M577" si="35">"T"&amp;INT((MONTH(B514)-1)/3+1)&amp;"-"&amp;YEAR(B514)</f>
        <v>T3-2023</v>
      </c>
    </row>
    <row r="515" spans="1:13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 t="str">
        <f t="shared" si="32"/>
        <v>60+</v>
      </c>
      <c r="K515" t="str">
        <f t="shared" si="33"/>
        <v>miércoles-03</v>
      </c>
      <c r="L515">
        <f t="shared" si="34"/>
        <v>2023</v>
      </c>
      <c r="M515" s="2" t="str">
        <f t="shared" si="35"/>
        <v>T1-2023</v>
      </c>
    </row>
    <row r="516" spans="1:13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 t="str">
        <f t="shared" si="32"/>
        <v>60+</v>
      </c>
      <c r="K516" t="str">
        <f t="shared" si="33"/>
        <v>lunes-07</v>
      </c>
      <c r="L516">
        <f t="shared" si="34"/>
        <v>2023</v>
      </c>
      <c r="M516" s="2" t="str">
        <f t="shared" si="35"/>
        <v>T3-2023</v>
      </c>
    </row>
    <row r="517" spans="1:13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 t="str">
        <f t="shared" si="32"/>
        <v>60+</v>
      </c>
      <c r="K517" t="str">
        <f t="shared" si="33"/>
        <v>lunes-10</v>
      </c>
      <c r="L517">
        <f t="shared" si="34"/>
        <v>2023</v>
      </c>
      <c r="M517" s="2" t="str">
        <f t="shared" si="35"/>
        <v>T4-2023</v>
      </c>
    </row>
    <row r="518" spans="1:13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 t="str">
        <f t="shared" si="32"/>
        <v>60+</v>
      </c>
      <c r="K518" t="str">
        <f t="shared" si="33"/>
        <v>sábado-04</v>
      </c>
      <c r="L518">
        <f t="shared" si="34"/>
        <v>2023</v>
      </c>
      <c r="M518" s="2" t="str">
        <f t="shared" si="35"/>
        <v>T2-2023</v>
      </c>
    </row>
    <row r="519" spans="1:13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 t="str">
        <f t="shared" si="32"/>
        <v>60+</v>
      </c>
      <c r="K519" t="str">
        <f t="shared" si="33"/>
        <v>jueves-05</v>
      </c>
      <c r="L519">
        <f t="shared" si="34"/>
        <v>2023</v>
      </c>
      <c r="M519" s="2" t="str">
        <f t="shared" si="35"/>
        <v>T2-2023</v>
      </c>
    </row>
    <row r="520" spans="1:13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 t="str">
        <f t="shared" si="32"/>
        <v>60+</v>
      </c>
      <c r="K520" t="str">
        <f t="shared" si="33"/>
        <v>lunes-01</v>
      </c>
      <c r="L520">
        <f t="shared" si="34"/>
        <v>2023</v>
      </c>
      <c r="M520" s="2" t="str">
        <f t="shared" si="35"/>
        <v>T1-2023</v>
      </c>
    </row>
    <row r="521" spans="1:13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 t="str">
        <f t="shared" si="32"/>
        <v>60+</v>
      </c>
      <c r="K521" t="str">
        <f t="shared" si="33"/>
        <v>viernes-12</v>
      </c>
      <c r="L521">
        <f t="shared" si="34"/>
        <v>2023</v>
      </c>
      <c r="M521" s="2" t="str">
        <f t="shared" si="35"/>
        <v>T4-2023</v>
      </c>
    </row>
    <row r="522" spans="1:13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 t="str">
        <f t="shared" si="32"/>
        <v>60+</v>
      </c>
      <c r="K522" t="str">
        <f t="shared" si="33"/>
        <v>sábado-08</v>
      </c>
      <c r="L522">
        <f t="shared" si="34"/>
        <v>2023</v>
      </c>
      <c r="M522" s="2" t="str">
        <f t="shared" si="35"/>
        <v>T3-2023</v>
      </c>
    </row>
    <row r="523" spans="1:13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 t="str">
        <f t="shared" si="32"/>
        <v>60+</v>
      </c>
      <c r="K523" t="str">
        <f t="shared" si="33"/>
        <v>domingo-01</v>
      </c>
      <c r="L523">
        <f t="shared" si="34"/>
        <v>2023</v>
      </c>
      <c r="M523" s="2" t="str">
        <f t="shared" si="35"/>
        <v>T1-2023</v>
      </c>
    </row>
    <row r="524" spans="1:13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 t="str">
        <f t="shared" si="32"/>
        <v>60+</v>
      </c>
      <c r="K524" t="str">
        <f t="shared" si="33"/>
        <v>domingo-09</v>
      </c>
      <c r="L524">
        <f t="shared" si="34"/>
        <v>2023</v>
      </c>
      <c r="M524" s="2" t="str">
        <f t="shared" si="35"/>
        <v>T3-2023</v>
      </c>
    </row>
    <row r="525" spans="1:13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 t="str">
        <f t="shared" si="32"/>
        <v>60+</v>
      </c>
      <c r="K525" t="str">
        <f t="shared" si="33"/>
        <v>martes-10</v>
      </c>
      <c r="L525">
        <f t="shared" si="34"/>
        <v>2023</v>
      </c>
      <c r="M525" s="2" t="str">
        <f t="shared" si="35"/>
        <v>T4-2023</v>
      </c>
    </row>
    <row r="526" spans="1:13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 t="str">
        <f t="shared" si="32"/>
        <v>60+</v>
      </c>
      <c r="K526" t="str">
        <f t="shared" si="33"/>
        <v>lunes-12</v>
      </c>
      <c r="L526">
        <f t="shared" si="34"/>
        <v>2023</v>
      </c>
      <c r="M526" s="2" t="str">
        <f t="shared" si="35"/>
        <v>T4-2023</v>
      </c>
    </row>
    <row r="527" spans="1:13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 t="str">
        <f t="shared" si="32"/>
        <v>60+</v>
      </c>
      <c r="K527" t="str">
        <f t="shared" si="33"/>
        <v>domingo-12</v>
      </c>
      <c r="L527">
        <f t="shared" si="34"/>
        <v>2023</v>
      </c>
      <c r="M527" s="2" t="str">
        <f t="shared" si="35"/>
        <v>T4-2023</v>
      </c>
    </row>
    <row r="528" spans="1:13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 t="str">
        <f t="shared" si="32"/>
        <v>60+</v>
      </c>
      <c r="K528" t="str">
        <f t="shared" si="33"/>
        <v>martes-04</v>
      </c>
      <c r="L528">
        <f t="shared" si="34"/>
        <v>2023</v>
      </c>
      <c r="M528" s="2" t="str">
        <f t="shared" si="35"/>
        <v>T2-2023</v>
      </c>
    </row>
    <row r="529" spans="1:13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 t="str">
        <f t="shared" si="32"/>
        <v>60+</v>
      </c>
      <c r="K529" t="str">
        <f t="shared" si="33"/>
        <v>jueves-07</v>
      </c>
      <c r="L529">
        <f t="shared" si="34"/>
        <v>2023</v>
      </c>
      <c r="M529" s="2" t="str">
        <f t="shared" si="35"/>
        <v>T3-2023</v>
      </c>
    </row>
    <row r="530" spans="1:13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 t="str">
        <f t="shared" si="32"/>
        <v>60+</v>
      </c>
      <c r="K530" t="str">
        <f t="shared" si="33"/>
        <v>miércoles-08</v>
      </c>
      <c r="L530">
        <f t="shared" si="34"/>
        <v>2023</v>
      </c>
      <c r="M530" s="2" t="str">
        <f t="shared" si="35"/>
        <v>T3-2023</v>
      </c>
    </row>
    <row r="531" spans="1:13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 t="str">
        <f t="shared" si="32"/>
        <v>60+</v>
      </c>
      <c r="K531" t="str">
        <f t="shared" si="33"/>
        <v>domingo-02</v>
      </c>
      <c r="L531">
        <f t="shared" si="34"/>
        <v>2023</v>
      </c>
      <c r="M531" s="2" t="str">
        <f t="shared" si="35"/>
        <v>T1-2023</v>
      </c>
    </row>
    <row r="532" spans="1:13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 t="str">
        <f t="shared" si="32"/>
        <v>60+</v>
      </c>
      <c r="K532" t="str">
        <f t="shared" si="33"/>
        <v>jueves-12</v>
      </c>
      <c r="L532">
        <f t="shared" si="34"/>
        <v>2023</v>
      </c>
      <c r="M532" s="2" t="str">
        <f t="shared" si="35"/>
        <v>T4-2023</v>
      </c>
    </row>
    <row r="533" spans="1:13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 t="str">
        <f t="shared" si="32"/>
        <v>60+</v>
      </c>
      <c r="K533" t="str">
        <f t="shared" si="33"/>
        <v>lunes-06</v>
      </c>
      <c r="L533">
        <f t="shared" si="34"/>
        <v>2023</v>
      </c>
      <c r="M533" s="2" t="str">
        <f t="shared" si="35"/>
        <v>T2-2023</v>
      </c>
    </row>
    <row r="534" spans="1:13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 t="str">
        <f t="shared" si="32"/>
        <v>60+</v>
      </c>
      <c r="K534" t="str">
        <f t="shared" si="33"/>
        <v>jueves-11</v>
      </c>
      <c r="L534">
        <f t="shared" si="34"/>
        <v>2023</v>
      </c>
      <c r="M534" s="2" t="str">
        <f t="shared" si="35"/>
        <v>T4-2023</v>
      </c>
    </row>
    <row r="535" spans="1:13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 t="str">
        <f t="shared" si="32"/>
        <v>60+</v>
      </c>
      <c r="K535" t="str">
        <f t="shared" si="33"/>
        <v>sábado-06</v>
      </c>
      <c r="L535">
        <f t="shared" si="34"/>
        <v>2023</v>
      </c>
      <c r="M535" s="2" t="str">
        <f t="shared" si="35"/>
        <v>T2-2023</v>
      </c>
    </row>
    <row r="536" spans="1:13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 t="str">
        <f t="shared" si="32"/>
        <v>60+</v>
      </c>
      <c r="K536" t="str">
        <f t="shared" si="33"/>
        <v>miércoles-12</v>
      </c>
      <c r="L536">
        <f t="shared" si="34"/>
        <v>2023</v>
      </c>
      <c r="M536" s="2" t="str">
        <f t="shared" si="35"/>
        <v>T4-2023</v>
      </c>
    </row>
    <row r="537" spans="1:13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 t="str">
        <f t="shared" si="32"/>
        <v>60+</v>
      </c>
      <c r="K537" t="str">
        <f t="shared" si="33"/>
        <v>domingo-03</v>
      </c>
      <c r="L537">
        <f t="shared" si="34"/>
        <v>2023</v>
      </c>
      <c r="M537" s="2" t="str">
        <f t="shared" si="35"/>
        <v>T1-2023</v>
      </c>
    </row>
    <row r="538" spans="1:13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 t="str">
        <f t="shared" si="32"/>
        <v>60+</v>
      </c>
      <c r="K538" t="str">
        <f t="shared" si="33"/>
        <v>sábado-06</v>
      </c>
      <c r="L538">
        <f t="shared" si="34"/>
        <v>2023</v>
      </c>
      <c r="M538" s="2" t="str">
        <f t="shared" si="35"/>
        <v>T2-2023</v>
      </c>
    </row>
    <row r="539" spans="1:13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 t="str">
        <f t="shared" si="32"/>
        <v>60+</v>
      </c>
      <c r="K539" t="str">
        <f t="shared" si="33"/>
        <v>domingo-09</v>
      </c>
      <c r="L539">
        <f t="shared" si="34"/>
        <v>2023</v>
      </c>
      <c r="M539" s="2" t="str">
        <f t="shared" si="35"/>
        <v>T3-2023</v>
      </c>
    </row>
    <row r="540" spans="1:13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 t="str">
        <f t="shared" si="32"/>
        <v>60+</v>
      </c>
      <c r="K540" t="str">
        <f t="shared" si="33"/>
        <v>jueves-06</v>
      </c>
      <c r="L540">
        <f t="shared" si="34"/>
        <v>2023</v>
      </c>
      <c r="M540" s="2" t="str">
        <f t="shared" si="35"/>
        <v>T2-2023</v>
      </c>
    </row>
    <row r="541" spans="1:13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 t="str">
        <f t="shared" si="32"/>
        <v>60+</v>
      </c>
      <c r="K541" t="str">
        <f t="shared" si="33"/>
        <v>viernes-12</v>
      </c>
      <c r="L541">
        <f t="shared" si="34"/>
        <v>2023</v>
      </c>
      <c r="M541" s="2" t="str">
        <f t="shared" si="35"/>
        <v>T4-2023</v>
      </c>
    </row>
    <row r="542" spans="1:13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 t="str">
        <f t="shared" si="32"/>
        <v>60+</v>
      </c>
      <c r="K542" t="str">
        <f t="shared" si="33"/>
        <v>sábado-07</v>
      </c>
      <c r="L542">
        <f t="shared" si="34"/>
        <v>2023</v>
      </c>
      <c r="M542" s="2" t="str">
        <f t="shared" si="35"/>
        <v>T3-2023</v>
      </c>
    </row>
    <row r="543" spans="1:13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 t="str">
        <f t="shared" si="32"/>
        <v>60+</v>
      </c>
      <c r="K543" t="str">
        <f t="shared" si="33"/>
        <v>sábado-06</v>
      </c>
      <c r="L543">
        <f t="shared" si="34"/>
        <v>2023</v>
      </c>
      <c r="M543" s="2" t="str">
        <f t="shared" si="35"/>
        <v>T2-2023</v>
      </c>
    </row>
    <row r="544" spans="1:13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 t="str">
        <f t="shared" si="32"/>
        <v>60+</v>
      </c>
      <c r="K544" t="str">
        <f t="shared" si="33"/>
        <v>miércoles-07</v>
      </c>
      <c r="L544">
        <f t="shared" si="34"/>
        <v>2023</v>
      </c>
      <c r="M544" s="2" t="str">
        <f t="shared" si="35"/>
        <v>T3-2023</v>
      </c>
    </row>
    <row r="545" spans="1:13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 t="str">
        <f t="shared" si="32"/>
        <v>60+</v>
      </c>
      <c r="K545" t="str">
        <f t="shared" si="33"/>
        <v>sábado-12</v>
      </c>
      <c r="L545">
        <f t="shared" si="34"/>
        <v>2023</v>
      </c>
      <c r="M545" s="2" t="str">
        <f t="shared" si="35"/>
        <v>T4-2023</v>
      </c>
    </row>
    <row r="546" spans="1:13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 t="str">
        <f t="shared" si="32"/>
        <v>60+</v>
      </c>
      <c r="K546" t="str">
        <f t="shared" si="33"/>
        <v>jueves-06</v>
      </c>
      <c r="L546">
        <f t="shared" si="34"/>
        <v>2023</v>
      </c>
      <c r="M546" s="2" t="str">
        <f t="shared" si="35"/>
        <v>T2-2023</v>
      </c>
    </row>
    <row r="547" spans="1:13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 t="str">
        <f t="shared" si="32"/>
        <v>60+</v>
      </c>
      <c r="K547" t="str">
        <f t="shared" si="33"/>
        <v>miércoles-10</v>
      </c>
      <c r="L547">
        <f t="shared" si="34"/>
        <v>2023</v>
      </c>
      <c r="M547" s="2" t="str">
        <f t="shared" si="35"/>
        <v>T4-2023</v>
      </c>
    </row>
    <row r="548" spans="1:13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 t="str">
        <f t="shared" si="32"/>
        <v>60+</v>
      </c>
      <c r="K548" t="str">
        <f t="shared" si="33"/>
        <v>martes-03</v>
      </c>
      <c r="L548">
        <f t="shared" si="34"/>
        <v>2023</v>
      </c>
      <c r="M548" s="2" t="str">
        <f t="shared" si="35"/>
        <v>T1-2023</v>
      </c>
    </row>
    <row r="549" spans="1:13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 t="str">
        <f t="shared" si="32"/>
        <v>60+</v>
      </c>
      <c r="K549" t="str">
        <f t="shared" si="33"/>
        <v>domingo-04</v>
      </c>
      <c r="L549">
        <f t="shared" si="34"/>
        <v>2023</v>
      </c>
      <c r="M549" s="2" t="str">
        <f t="shared" si="35"/>
        <v>T2-2023</v>
      </c>
    </row>
    <row r="550" spans="1:13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 t="str">
        <f t="shared" si="32"/>
        <v>60+</v>
      </c>
      <c r="K550" t="str">
        <f t="shared" si="33"/>
        <v>viernes-08</v>
      </c>
      <c r="L550">
        <f t="shared" si="34"/>
        <v>2023</v>
      </c>
      <c r="M550" s="2" t="str">
        <f t="shared" si="35"/>
        <v>T3-2023</v>
      </c>
    </row>
    <row r="551" spans="1:13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 t="str">
        <f t="shared" si="32"/>
        <v>60+</v>
      </c>
      <c r="K551" t="str">
        <f t="shared" si="33"/>
        <v>jueves-12</v>
      </c>
      <c r="L551">
        <f t="shared" si="34"/>
        <v>2023</v>
      </c>
      <c r="M551" s="2" t="str">
        <f t="shared" si="35"/>
        <v>T4-2023</v>
      </c>
    </row>
    <row r="552" spans="1:13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 t="str">
        <f t="shared" si="32"/>
        <v>60+</v>
      </c>
      <c r="K552" t="str">
        <f t="shared" si="33"/>
        <v>viernes-07</v>
      </c>
      <c r="L552">
        <f t="shared" si="34"/>
        <v>2023</v>
      </c>
      <c r="M552" s="2" t="str">
        <f t="shared" si="35"/>
        <v>T3-2023</v>
      </c>
    </row>
    <row r="553" spans="1:13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 t="str">
        <f t="shared" si="32"/>
        <v>60+</v>
      </c>
      <c r="K553" t="str">
        <f t="shared" si="33"/>
        <v>miércoles-12</v>
      </c>
      <c r="L553">
        <f t="shared" si="34"/>
        <v>2023</v>
      </c>
      <c r="M553" s="2" t="str">
        <f t="shared" si="35"/>
        <v>T4-2023</v>
      </c>
    </row>
    <row r="554" spans="1:13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 t="str">
        <f t="shared" si="32"/>
        <v>60+</v>
      </c>
      <c r="K554" t="str">
        <f t="shared" si="33"/>
        <v>viernes-03</v>
      </c>
      <c r="L554">
        <f t="shared" si="34"/>
        <v>2023</v>
      </c>
      <c r="M554" s="2" t="str">
        <f t="shared" si="35"/>
        <v>T1-2023</v>
      </c>
    </row>
    <row r="555" spans="1:13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 t="str">
        <f t="shared" si="32"/>
        <v>60+</v>
      </c>
      <c r="K555" t="str">
        <f t="shared" si="33"/>
        <v>domingo-11</v>
      </c>
      <c r="L555">
        <f t="shared" si="34"/>
        <v>2023</v>
      </c>
      <c r="M555" s="2" t="str">
        <f t="shared" si="35"/>
        <v>T4-2023</v>
      </c>
    </row>
    <row r="556" spans="1:13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 t="str">
        <f t="shared" si="32"/>
        <v>60+</v>
      </c>
      <c r="K556" t="str">
        <f t="shared" si="33"/>
        <v>jueves-10</v>
      </c>
      <c r="L556">
        <f t="shared" si="34"/>
        <v>2023</v>
      </c>
      <c r="M556" s="2" t="str">
        <f t="shared" si="35"/>
        <v>T4-2023</v>
      </c>
    </row>
    <row r="557" spans="1:13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 t="str">
        <f t="shared" si="32"/>
        <v>60+</v>
      </c>
      <c r="K557" t="str">
        <f t="shared" si="33"/>
        <v>domingo-06</v>
      </c>
      <c r="L557">
        <f t="shared" si="34"/>
        <v>2023</v>
      </c>
      <c r="M557" s="2" t="str">
        <f t="shared" si="35"/>
        <v>T2-2023</v>
      </c>
    </row>
    <row r="558" spans="1:13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 t="str">
        <f t="shared" si="32"/>
        <v>60+</v>
      </c>
      <c r="K558" t="str">
        <f t="shared" si="33"/>
        <v>jueves-07</v>
      </c>
      <c r="L558">
        <f t="shared" si="34"/>
        <v>2023</v>
      </c>
      <c r="M558" s="2" t="str">
        <f t="shared" si="35"/>
        <v>T3-2023</v>
      </c>
    </row>
    <row r="559" spans="1:13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 t="str">
        <f t="shared" si="32"/>
        <v>60+</v>
      </c>
      <c r="K559" t="str">
        <f t="shared" si="33"/>
        <v>domingo-10</v>
      </c>
      <c r="L559">
        <f t="shared" si="34"/>
        <v>2023</v>
      </c>
      <c r="M559" s="2" t="str">
        <f t="shared" si="35"/>
        <v>T4-2023</v>
      </c>
    </row>
    <row r="560" spans="1:13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 t="str">
        <f t="shared" si="32"/>
        <v>60+</v>
      </c>
      <c r="K560" t="str">
        <f t="shared" si="33"/>
        <v>domingo-01</v>
      </c>
      <c r="L560">
        <f t="shared" si="34"/>
        <v>2023</v>
      </c>
      <c r="M560" s="2" t="str">
        <f t="shared" si="35"/>
        <v>T1-2023</v>
      </c>
    </row>
    <row r="561" spans="1:13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 t="str">
        <f t="shared" si="32"/>
        <v>60+</v>
      </c>
      <c r="K561" t="str">
        <f t="shared" si="33"/>
        <v>lunes-06</v>
      </c>
      <c r="L561">
        <f t="shared" si="34"/>
        <v>2023</v>
      </c>
      <c r="M561" s="2" t="str">
        <f t="shared" si="35"/>
        <v>T2-2023</v>
      </c>
    </row>
    <row r="562" spans="1:13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 t="str">
        <f t="shared" si="32"/>
        <v>60+</v>
      </c>
      <c r="K562" t="str">
        <f t="shared" si="33"/>
        <v>sábado-05</v>
      </c>
      <c r="L562">
        <f t="shared" si="34"/>
        <v>2023</v>
      </c>
      <c r="M562" s="2" t="str">
        <f t="shared" si="35"/>
        <v>T2-2023</v>
      </c>
    </row>
    <row r="563" spans="1:13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 t="str">
        <f t="shared" si="32"/>
        <v>60+</v>
      </c>
      <c r="K563" t="str">
        <f t="shared" si="33"/>
        <v>martes-04</v>
      </c>
      <c r="L563">
        <f t="shared" si="34"/>
        <v>2023</v>
      </c>
      <c r="M563" s="2" t="str">
        <f t="shared" si="35"/>
        <v>T2-2023</v>
      </c>
    </row>
    <row r="564" spans="1:13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 t="str">
        <f t="shared" si="32"/>
        <v>60+</v>
      </c>
      <c r="K564" t="str">
        <f t="shared" si="33"/>
        <v>miércoles-08</v>
      </c>
      <c r="L564">
        <f t="shared" si="34"/>
        <v>2023</v>
      </c>
      <c r="M564" s="2" t="str">
        <f t="shared" si="35"/>
        <v>T3-2023</v>
      </c>
    </row>
    <row r="565" spans="1:13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 t="str">
        <f t="shared" si="32"/>
        <v>60+</v>
      </c>
      <c r="K565" t="str">
        <f t="shared" si="33"/>
        <v>martes-10</v>
      </c>
      <c r="L565">
        <f t="shared" si="34"/>
        <v>2023</v>
      </c>
      <c r="M565" s="2" t="str">
        <f t="shared" si="35"/>
        <v>T4-2023</v>
      </c>
    </row>
    <row r="566" spans="1:13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 t="str">
        <f t="shared" si="32"/>
        <v>60+</v>
      </c>
      <c r="K566" t="str">
        <f t="shared" si="33"/>
        <v>martes-11</v>
      </c>
      <c r="L566">
        <f t="shared" si="34"/>
        <v>2023</v>
      </c>
      <c r="M566" s="2" t="str">
        <f t="shared" si="35"/>
        <v>T4-2023</v>
      </c>
    </row>
    <row r="567" spans="1:13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 t="str">
        <f t="shared" si="32"/>
        <v>60+</v>
      </c>
      <c r="K567" t="str">
        <f t="shared" si="33"/>
        <v>sábado-12</v>
      </c>
      <c r="L567">
        <f t="shared" si="34"/>
        <v>2023</v>
      </c>
      <c r="M567" s="2" t="str">
        <f t="shared" si="35"/>
        <v>T4-2023</v>
      </c>
    </row>
    <row r="568" spans="1:13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 t="str">
        <f t="shared" si="32"/>
        <v>60+</v>
      </c>
      <c r="K568" t="str">
        <f t="shared" si="33"/>
        <v>miércoles-06</v>
      </c>
      <c r="L568">
        <f t="shared" si="34"/>
        <v>2023</v>
      </c>
      <c r="M568" s="2" t="str">
        <f t="shared" si="35"/>
        <v>T2-2023</v>
      </c>
    </row>
    <row r="569" spans="1:13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 t="str">
        <f t="shared" si="32"/>
        <v>60+</v>
      </c>
      <c r="K569" t="str">
        <f t="shared" si="33"/>
        <v>domingo-08</v>
      </c>
      <c r="L569">
        <f t="shared" si="34"/>
        <v>2023</v>
      </c>
      <c r="M569" s="2" t="str">
        <f t="shared" si="35"/>
        <v>T3-2023</v>
      </c>
    </row>
    <row r="570" spans="1:13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 t="str">
        <f t="shared" si="32"/>
        <v>60+</v>
      </c>
      <c r="K570" t="str">
        <f t="shared" si="33"/>
        <v>martes-08</v>
      </c>
      <c r="L570">
        <f t="shared" si="34"/>
        <v>2023</v>
      </c>
      <c r="M570" s="2" t="str">
        <f t="shared" si="35"/>
        <v>T3-2023</v>
      </c>
    </row>
    <row r="571" spans="1:13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 t="str">
        <f t="shared" si="32"/>
        <v>60+</v>
      </c>
      <c r="K571" t="str">
        <f t="shared" si="33"/>
        <v>martes-08</v>
      </c>
      <c r="L571">
        <f t="shared" si="34"/>
        <v>2023</v>
      </c>
      <c r="M571" s="2" t="str">
        <f t="shared" si="35"/>
        <v>T3-2023</v>
      </c>
    </row>
    <row r="572" spans="1:13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 t="str">
        <f t="shared" si="32"/>
        <v>60+</v>
      </c>
      <c r="K572" t="str">
        <f t="shared" si="33"/>
        <v>martes-12</v>
      </c>
      <c r="L572">
        <f t="shared" si="34"/>
        <v>2023</v>
      </c>
      <c r="M572" s="2" t="str">
        <f t="shared" si="35"/>
        <v>T4-2023</v>
      </c>
    </row>
    <row r="573" spans="1:13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 t="str">
        <f t="shared" si="32"/>
        <v>60+</v>
      </c>
      <c r="K573" t="str">
        <f t="shared" si="33"/>
        <v>jueves-04</v>
      </c>
      <c r="L573">
        <f t="shared" si="34"/>
        <v>2023</v>
      </c>
      <c r="M573" s="2" t="str">
        <f t="shared" si="35"/>
        <v>T2-2023</v>
      </c>
    </row>
    <row r="574" spans="1:13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 t="str">
        <f t="shared" si="32"/>
        <v>60+</v>
      </c>
      <c r="K574" t="str">
        <f t="shared" si="33"/>
        <v>martes-09</v>
      </c>
      <c r="L574">
        <f t="shared" si="34"/>
        <v>2023</v>
      </c>
      <c r="M574" s="2" t="str">
        <f t="shared" si="35"/>
        <v>T3-2023</v>
      </c>
    </row>
    <row r="575" spans="1:13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 t="str">
        <f t="shared" si="32"/>
        <v>60+</v>
      </c>
      <c r="K575" t="str">
        <f t="shared" si="33"/>
        <v>jueves-08</v>
      </c>
      <c r="L575">
        <f t="shared" si="34"/>
        <v>2023</v>
      </c>
      <c r="M575" s="2" t="str">
        <f t="shared" si="35"/>
        <v>T3-2023</v>
      </c>
    </row>
    <row r="576" spans="1:13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 t="str">
        <f t="shared" si="32"/>
        <v>60+</v>
      </c>
      <c r="K576" t="str">
        <f t="shared" si="33"/>
        <v>martes-03</v>
      </c>
      <c r="L576">
        <f t="shared" si="34"/>
        <v>2023</v>
      </c>
      <c r="M576" s="2" t="str">
        <f t="shared" si="35"/>
        <v>T1-2023</v>
      </c>
    </row>
    <row r="577" spans="1:13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 t="str">
        <f t="shared" si="32"/>
        <v>60+</v>
      </c>
      <c r="K577" t="str">
        <f t="shared" si="33"/>
        <v>lunes-12</v>
      </c>
      <c r="L577">
        <f t="shared" si="34"/>
        <v>2023</v>
      </c>
      <c r="M577" s="2" t="str">
        <f t="shared" si="35"/>
        <v>T4-2023</v>
      </c>
    </row>
    <row r="578" spans="1:13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 t="str">
        <f t="shared" ref="J578:J641" si="36">IF(D578&lt;30,"18-29",IF(D578&lt;45,"30-44",IF(D578&lt;60,"45-59","60+")))</f>
        <v>60+</v>
      </c>
      <c r="K578" t="str">
        <f t="shared" ref="K578:K641" si="37">TEXT(B578,"AAAA-MM")</f>
        <v>lunes-02</v>
      </c>
      <c r="L578">
        <f t="shared" ref="L578:L641" si="38">YEAR(B578)</f>
        <v>2023</v>
      </c>
      <c r="M578" s="2" t="str">
        <f t="shared" ref="M578:M641" si="39">"T"&amp;INT((MONTH(B578)-1)/3+1)&amp;"-"&amp;YEAR(B578)</f>
        <v>T1-2023</v>
      </c>
    </row>
    <row r="579" spans="1:13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 t="str">
        <f t="shared" si="36"/>
        <v>60+</v>
      </c>
      <c r="K579" t="str">
        <f t="shared" si="37"/>
        <v>viernes-05</v>
      </c>
      <c r="L579">
        <f t="shared" si="38"/>
        <v>2023</v>
      </c>
      <c r="M579" s="2" t="str">
        <f t="shared" si="39"/>
        <v>T2-2023</v>
      </c>
    </row>
    <row r="580" spans="1:13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 t="str">
        <f t="shared" si="36"/>
        <v>60+</v>
      </c>
      <c r="K580" t="str">
        <f t="shared" si="37"/>
        <v>jueves-09</v>
      </c>
      <c r="L580">
        <f t="shared" si="38"/>
        <v>2023</v>
      </c>
      <c r="M580" s="2" t="str">
        <f t="shared" si="39"/>
        <v>T3-2023</v>
      </c>
    </row>
    <row r="581" spans="1:13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 t="str">
        <f t="shared" si="36"/>
        <v>60+</v>
      </c>
      <c r="K581" t="str">
        <f t="shared" si="37"/>
        <v>miércoles-12</v>
      </c>
      <c r="L581">
        <f t="shared" si="38"/>
        <v>2023</v>
      </c>
      <c r="M581" s="2" t="str">
        <f t="shared" si="39"/>
        <v>T4-2023</v>
      </c>
    </row>
    <row r="582" spans="1:13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 t="str">
        <f t="shared" si="36"/>
        <v>60+</v>
      </c>
      <c r="K582" t="str">
        <f t="shared" si="37"/>
        <v>martes-11</v>
      </c>
      <c r="L582">
        <f t="shared" si="38"/>
        <v>2023</v>
      </c>
      <c r="M582" s="2" t="str">
        <f t="shared" si="39"/>
        <v>T4-2023</v>
      </c>
    </row>
    <row r="583" spans="1:13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 t="str">
        <f t="shared" si="36"/>
        <v>60+</v>
      </c>
      <c r="K583" t="str">
        <f t="shared" si="37"/>
        <v>martes-11</v>
      </c>
      <c r="L583">
        <f t="shared" si="38"/>
        <v>2023</v>
      </c>
      <c r="M583" s="2" t="str">
        <f t="shared" si="39"/>
        <v>T4-2023</v>
      </c>
    </row>
    <row r="584" spans="1:13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 t="str">
        <f t="shared" si="36"/>
        <v>60+</v>
      </c>
      <c r="K584" t="str">
        <f t="shared" si="37"/>
        <v>miércoles-06</v>
      </c>
      <c r="L584">
        <f t="shared" si="38"/>
        <v>2023</v>
      </c>
      <c r="M584" s="2" t="str">
        <f t="shared" si="39"/>
        <v>T2-2023</v>
      </c>
    </row>
    <row r="585" spans="1:13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 t="str">
        <f t="shared" si="36"/>
        <v>60+</v>
      </c>
      <c r="K585" t="str">
        <f t="shared" si="37"/>
        <v>viernes-02</v>
      </c>
      <c r="L585">
        <f t="shared" si="38"/>
        <v>2023</v>
      </c>
      <c r="M585" s="2" t="str">
        <f t="shared" si="39"/>
        <v>T1-2023</v>
      </c>
    </row>
    <row r="586" spans="1:13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 t="str">
        <f t="shared" si="36"/>
        <v>60+</v>
      </c>
      <c r="K586" t="str">
        <f t="shared" si="37"/>
        <v>lunes-05</v>
      </c>
      <c r="L586">
        <f t="shared" si="38"/>
        <v>2023</v>
      </c>
      <c r="M586" s="2" t="str">
        <f t="shared" si="39"/>
        <v>T2-2023</v>
      </c>
    </row>
    <row r="587" spans="1:13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 t="str">
        <f t="shared" si="36"/>
        <v>60+</v>
      </c>
      <c r="K587" t="str">
        <f t="shared" si="37"/>
        <v>lunes-12</v>
      </c>
      <c r="L587">
        <f t="shared" si="38"/>
        <v>2023</v>
      </c>
      <c r="M587" s="2" t="str">
        <f t="shared" si="39"/>
        <v>T4-2023</v>
      </c>
    </row>
    <row r="588" spans="1:13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 t="str">
        <f t="shared" si="36"/>
        <v>60+</v>
      </c>
      <c r="K588" t="str">
        <f t="shared" si="37"/>
        <v>jueves-06</v>
      </c>
      <c r="L588">
        <f t="shared" si="38"/>
        <v>2023</v>
      </c>
      <c r="M588" s="2" t="str">
        <f t="shared" si="39"/>
        <v>T2-2023</v>
      </c>
    </row>
    <row r="589" spans="1:13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 t="str">
        <f t="shared" si="36"/>
        <v>60+</v>
      </c>
      <c r="K589" t="str">
        <f t="shared" si="37"/>
        <v>miércoles-04</v>
      </c>
      <c r="L589">
        <f t="shared" si="38"/>
        <v>2023</v>
      </c>
      <c r="M589" s="2" t="str">
        <f t="shared" si="39"/>
        <v>T2-2023</v>
      </c>
    </row>
    <row r="590" spans="1:13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 t="str">
        <f t="shared" si="36"/>
        <v>60+</v>
      </c>
      <c r="K590" t="str">
        <f t="shared" si="37"/>
        <v>miércoles-04</v>
      </c>
      <c r="L590">
        <f t="shared" si="38"/>
        <v>2023</v>
      </c>
      <c r="M590" s="2" t="str">
        <f t="shared" si="39"/>
        <v>T2-2023</v>
      </c>
    </row>
    <row r="591" spans="1:13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 t="str">
        <f t="shared" si="36"/>
        <v>60+</v>
      </c>
      <c r="K591" t="str">
        <f t="shared" si="37"/>
        <v>viernes-03</v>
      </c>
      <c r="L591">
        <f t="shared" si="38"/>
        <v>2023</v>
      </c>
      <c r="M591" s="2" t="str">
        <f t="shared" si="39"/>
        <v>T1-2023</v>
      </c>
    </row>
    <row r="592" spans="1:13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 t="str">
        <f t="shared" si="36"/>
        <v>60+</v>
      </c>
      <c r="K592" t="str">
        <f t="shared" si="37"/>
        <v>viernes-01</v>
      </c>
      <c r="L592">
        <f t="shared" si="38"/>
        <v>2023</v>
      </c>
      <c r="M592" s="2" t="str">
        <f t="shared" si="39"/>
        <v>T1-2023</v>
      </c>
    </row>
    <row r="593" spans="1:13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 t="str">
        <f t="shared" si="36"/>
        <v>60+</v>
      </c>
      <c r="K593" t="str">
        <f t="shared" si="37"/>
        <v>martes-01</v>
      </c>
      <c r="L593">
        <f t="shared" si="38"/>
        <v>2023</v>
      </c>
      <c r="M593" s="2" t="str">
        <f t="shared" si="39"/>
        <v>T1-2023</v>
      </c>
    </row>
    <row r="594" spans="1:13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 t="str">
        <f t="shared" si="36"/>
        <v>60+</v>
      </c>
      <c r="K594" t="str">
        <f t="shared" si="37"/>
        <v>sábado-05</v>
      </c>
      <c r="L594">
        <f t="shared" si="38"/>
        <v>2023</v>
      </c>
      <c r="M594" s="2" t="str">
        <f t="shared" si="39"/>
        <v>T2-2023</v>
      </c>
    </row>
    <row r="595" spans="1:13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 t="str">
        <f t="shared" si="36"/>
        <v>60+</v>
      </c>
      <c r="K595" t="str">
        <f t="shared" si="37"/>
        <v>viernes-09</v>
      </c>
      <c r="L595">
        <f t="shared" si="38"/>
        <v>2023</v>
      </c>
      <c r="M595" s="2" t="str">
        <f t="shared" si="39"/>
        <v>T3-2023</v>
      </c>
    </row>
    <row r="596" spans="1:13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 t="str">
        <f t="shared" si="36"/>
        <v>60+</v>
      </c>
      <c r="K596" t="str">
        <f t="shared" si="37"/>
        <v>jueves-11</v>
      </c>
      <c r="L596">
        <f t="shared" si="38"/>
        <v>2023</v>
      </c>
      <c r="M596" s="2" t="str">
        <f t="shared" si="39"/>
        <v>T4-2023</v>
      </c>
    </row>
    <row r="597" spans="1:13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 t="str">
        <f t="shared" si="36"/>
        <v>60+</v>
      </c>
      <c r="K597" t="str">
        <f t="shared" si="37"/>
        <v>martes-02</v>
      </c>
      <c r="L597">
        <f t="shared" si="38"/>
        <v>2023</v>
      </c>
      <c r="M597" s="2" t="str">
        <f t="shared" si="39"/>
        <v>T1-2023</v>
      </c>
    </row>
    <row r="598" spans="1:13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 t="str">
        <f t="shared" si="36"/>
        <v>60+</v>
      </c>
      <c r="K598" t="str">
        <f t="shared" si="37"/>
        <v>martes-08</v>
      </c>
      <c r="L598">
        <f t="shared" si="38"/>
        <v>2023</v>
      </c>
      <c r="M598" s="2" t="str">
        <f t="shared" si="39"/>
        <v>T3-2023</v>
      </c>
    </row>
    <row r="599" spans="1:13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 t="str">
        <f t="shared" si="36"/>
        <v>60+</v>
      </c>
      <c r="K599" t="str">
        <f t="shared" si="37"/>
        <v>martes-08</v>
      </c>
      <c r="L599">
        <f t="shared" si="38"/>
        <v>2023</v>
      </c>
      <c r="M599" s="2" t="str">
        <f t="shared" si="39"/>
        <v>T3-2023</v>
      </c>
    </row>
    <row r="600" spans="1:13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 t="str">
        <f t="shared" si="36"/>
        <v>60+</v>
      </c>
      <c r="K600" t="str">
        <f t="shared" si="37"/>
        <v>domingo-11</v>
      </c>
      <c r="L600">
        <f t="shared" si="38"/>
        <v>2023</v>
      </c>
      <c r="M600" s="2" t="str">
        <f t="shared" si="39"/>
        <v>T4-2023</v>
      </c>
    </row>
    <row r="601" spans="1:13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 t="str">
        <f t="shared" si="36"/>
        <v>60+</v>
      </c>
      <c r="K601" t="str">
        <f t="shared" si="37"/>
        <v>domingo-10</v>
      </c>
      <c r="L601">
        <f t="shared" si="38"/>
        <v>2023</v>
      </c>
      <c r="M601" s="2" t="str">
        <f t="shared" si="39"/>
        <v>T4-2023</v>
      </c>
    </row>
    <row r="602" spans="1:13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 t="str">
        <f t="shared" si="36"/>
        <v>60+</v>
      </c>
      <c r="K602" t="str">
        <f t="shared" si="37"/>
        <v>lunes-04</v>
      </c>
      <c r="L602">
        <f t="shared" si="38"/>
        <v>2023</v>
      </c>
      <c r="M602" s="2" t="str">
        <f t="shared" si="39"/>
        <v>T2-2023</v>
      </c>
    </row>
    <row r="603" spans="1:13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 t="str">
        <f t="shared" si="36"/>
        <v>60+</v>
      </c>
      <c r="K603" t="str">
        <f t="shared" si="37"/>
        <v>sábado-12</v>
      </c>
      <c r="L603">
        <f t="shared" si="38"/>
        <v>2023</v>
      </c>
      <c r="M603" s="2" t="str">
        <f t="shared" si="39"/>
        <v>T4-2023</v>
      </c>
    </row>
    <row r="604" spans="1:13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 t="str">
        <f t="shared" si="36"/>
        <v>60+</v>
      </c>
      <c r="K604" t="str">
        <f t="shared" si="37"/>
        <v>domingo-07</v>
      </c>
      <c r="L604">
        <f t="shared" si="38"/>
        <v>2023</v>
      </c>
      <c r="M604" s="2" t="str">
        <f t="shared" si="39"/>
        <v>T3-2023</v>
      </c>
    </row>
    <row r="605" spans="1:13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 t="str">
        <f t="shared" si="36"/>
        <v>60+</v>
      </c>
      <c r="K605" t="str">
        <f t="shared" si="37"/>
        <v>lunes-09</v>
      </c>
      <c r="L605">
        <f t="shared" si="38"/>
        <v>2023</v>
      </c>
      <c r="M605" s="2" t="str">
        <f t="shared" si="39"/>
        <v>T3-2023</v>
      </c>
    </row>
    <row r="606" spans="1:13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 t="str">
        <f t="shared" si="36"/>
        <v>60+</v>
      </c>
      <c r="K606" t="str">
        <f t="shared" si="37"/>
        <v>lunes-07</v>
      </c>
      <c r="L606">
        <f t="shared" si="38"/>
        <v>2023</v>
      </c>
      <c r="M606" s="2" t="str">
        <f t="shared" si="39"/>
        <v>T3-2023</v>
      </c>
    </row>
    <row r="607" spans="1:13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 t="str">
        <f t="shared" si="36"/>
        <v>60+</v>
      </c>
      <c r="K607" t="str">
        <f t="shared" si="37"/>
        <v>viernes-05</v>
      </c>
      <c r="L607">
        <f t="shared" si="38"/>
        <v>2023</v>
      </c>
      <c r="M607" s="2" t="str">
        <f t="shared" si="39"/>
        <v>T2-2023</v>
      </c>
    </row>
    <row r="608" spans="1:13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 t="str">
        <f t="shared" si="36"/>
        <v>60+</v>
      </c>
      <c r="K608" t="str">
        <f t="shared" si="37"/>
        <v>viernes-03</v>
      </c>
      <c r="L608">
        <f t="shared" si="38"/>
        <v>2023</v>
      </c>
      <c r="M608" s="2" t="str">
        <f t="shared" si="39"/>
        <v>T1-2023</v>
      </c>
    </row>
    <row r="609" spans="1:13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 t="str">
        <f t="shared" si="36"/>
        <v>60+</v>
      </c>
      <c r="K609" t="str">
        <f t="shared" si="37"/>
        <v>sábado-12</v>
      </c>
      <c r="L609">
        <f t="shared" si="38"/>
        <v>2023</v>
      </c>
      <c r="M609" s="2" t="str">
        <f t="shared" si="39"/>
        <v>T4-2023</v>
      </c>
    </row>
    <row r="610" spans="1:13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 t="str">
        <f t="shared" si="36"/>
        <v>60+</v>
      </c>
      <c r="K610" t="str">
        <f t="shared" si="37"/>
        <v>martes-12</v>
      </c>
      <c r="L610">
        <f t="shared" si="38"/>
        <v>2023</v>
      </c>
      <c r="M610" s="2" t="str">
        <f t="shared" si="39"/>
        <v>T4-2023</v>
      </c>
    </row>
    <row r="611" spans="1:13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 t="str">
        <f t="shared" si="36"/>
        <v>60+</v>
      </c>
      <c r="K611" t="str">
        <f t="shared" si="37"/>
        <v>martes-01</v>
      </c>
      <c r="L611">
        <f t="shared" si="38"/>
        <v>2023</v>
      </c>
      <c r="M611" s="2" t="str">
        <f t="shared" si="39"/>
        <v>T1-2023</v>
      </c>
    </row>
    <row r="612" spans="1:13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 t="str">
        <f t="shared" si="36"/>
        <v>60+</v>
      </c>
      <c r="K612" t="str">
        <f t="shared" si="37"/>
        <v>viernes-02</v>
      </c>
      <c r="L612">
        <f t="shared" si="38"/>
        <v>2023</v>
      </c>
      <c r="M612" s="2" t="str">
        <f t="shared" si="39"/>
        <v>T1-2023</v>
      </c>
    </row>
    <row r="613" spans="1:13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 t="str">
        <f t="shared" si="36"/>
        <v>60+</v>
      </c>
      <c r="K613" t="str">
        <f t="shared" si="37"/>
        <v>domingo-08</v>
      </c>
      <c r="L613">
        <f t="shared" si="38"/>
        <v>2023</v>
      </c>
      <c r="M613" s="2" t="str">
        <f t="shared" si="39"/>
        <v>T3-2023</v>
      </c>
    </row>
    <row r="614" spans="1:13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 t="str">
        <f t="shared" si="36"/>
        <v>60+</v>
      </c>
      <c r="K614" t="str">
        <f t="shared" si="37"/>
        <v>domingo-04</v>
      </c>
      <c r="L614">
        <f t="shared" si="38"/>
        <v>2023</v>
      </c>
      <c r="M614" s="2" t="str">
        <f t="shared" si="39"/>
        <v>T2-2023</v>
      </c>
    </row>
    <row r="615" spans="1:13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 t="str">
        <f t="shared" si="36"/>
        <v>60+</v>
      </c>
      <c r="K615" t="str">
        <f t="shared" si="37"/>
        <v>sábado-04</v>
      </c>
      <c r="L615">
        <f t="shared" si="38"/>
        <v>2023</v>
      </c>
      <c r="M615" s="2" t="str">
        <f t="shared" si="39"/>
        <v>T2-2023</v>
      </c>
    </row>
    <row r="616" spans="1:13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 t="str">
        <f t="shared" si="36"/>
        <v>60+</v>
      </c>
      <c r="K616" t="str">
        <f t="shared" si="37"/>
        <v>sábado-12</v>
      </c>
      <c r="L616">
        <f t="shared" si="38"/>
        <v>2023</v>
      </c>
      <c r="M616" s="2" t="str">
        <f t="shared" si="39"/>
        <v>T4-2023</v>
      </c>
    </row>
    <row r="617" spans="1:13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 t="str">
        <f t="shared" si="36"/>
        <v>60+</v>
      </c>
      <c r="K617" t="str">
        <f t="shared" si="37"/>
        <v>sábado-09</v>
      </c>
      <c r="L617">
        <f t="shared" si="38"/>
        <v>2023</v>
      </c>
      <c r="M617" s="2" t="str">
        <f t="shared" si="39"/>
        <v>T3-2023</v>
      </c>
    </row>
    <row r="618" spans="1:13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 t="str">
        <f t="shared" si="36"/>
        <v>60+</v>
      </c>
      <c r="K618" t="str">
        <f t="shared" si="37"/>
        <v>sábado-08</v>
      </c>
      <c r="L618">
        <f t="shared" si="38"/>
        <v>2023</v>
      </c>
      <c r="M618" s="2" t="str">
        <f t="shared" si="39"/>
        <v>T3-2023</v>
      </c>
    </row>
    <row r="619" spans="1:13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 t="str">
        <f t="shared" si="36"/>
        <v>60+</v>
      </c>
      <c r="K619" t="str">
        <f t="shared" si="37"/>
        <v>jueves-01</v>
      </c>
      <c r="L619">
        <f t="shared" si="38"/>
        <v>2023</v>
      </c>
      <c r="M619" s="2" t="str">
        <f t="shared" si="39"/>
        <v>T1-2023</v>
      </c>
    </row>
    <row r="620" spans="1:13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 t="str">
        <f t="shared" si="36"/>
        <v>60+</v>
      </c>
      <c r="K620" t="str">
        <f t="shared" si="37"/>
        <v>viernes-10</v>
      </c>
      <c r="L620">
        <f t="shared" si="38"/>
        <v>2023</v>
      </c>
      <c r="M620" s="2" t="str">
        <f t="shared" si="39"/>
        <v>T4-2023</v>
      </c>
    </row>
    <row r="621" spans="1:13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 t="str">
        <f t="shared" si="36"/>
        <v>60+</v>
      </c>
      <c r="K621" t="str">
        <f t="shared" si="37"/>
        <v>lunes-05</v>
      </c>
      <c r="L621">
        <f t="shared" si="38"/>
        <v>2023</v>
      </c>
      <c r="M621" s="2" t="str">
        <f t="shared" si="39"/>
        <v>T2-2023</v>
      </c>
    </row>
    <row r="622" spans="1:13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 t="str">
        <f t="shared" si="36"/>
        <v>60+</v>
      </c>
      <c r="K622" t="str">
        <f t="shared" si="37"/>
        <v>sábado-03</v>
      </c>
      <c r="L622">
        <f t="shared" si="38"/>
        <v>2023</v>
      </c>
      <c r="M622" s="2" t="str">
        <f t="shared" si="39"/>
        <v>T1-2023</v>
      </c>
    </row>
    <row r="623" spans="1:13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 t="str">
        <f t="shared" si="36"/>
        <v>60+</v>
      </c>
      <c r="K623" t="str">
        <f t="shared" si="37"/>
        <v>martes-08</v>
      </c>
      <c r="L623">
        <f t="shared" si="38"/>
        <v>2023</v>
      </c>
      <c r="M623" s="2" t="str">
        <f t="shared" si="39"/>
        <v>T3-2023</v>
      </c>
    </row>
    <row r="624" spans="1:13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 t="str">
        <f t="shared" si="36"/>
        <v>60+</v>
      </c>
      <c r="K624" t="str">
        <f t="shared" si="37"/>
        <v>viernes-03</v>
      </c>
      <c r="L624">
        <f t="shared" si="38"/>
        <v>2023</v>
      </c>
      <c r="M624" s="2" t="str">
        <f t="shared" si="39"/>
        <v>T1-2023</v>
      </c>
    </row>
    <row r="625" spans="1:13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 t="str">
        <f t="shared" si="36"/>
        <v>60+</v>
      </c>
      <c r="K625" t="str">
        <f t="shared" si="37"/>
        <v>sábado-08</v>
      </c>
      <c r="L625">
        <f t="shared" si="38"/>
        <v>2023</v>
      </c>
      <c r="M625" s="2" t="str">
        <f t="shared" si="39"/>
        <v>T3-2023</v>
      </c>
    </row>
    <row r="626" spans="1:13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 t="str">
        <f t="shared" si="36"/>
        <v>60+</v>
      </c>
      <c r="K626" t="str">
        <f t="shared" si="37"/>
        <v>viernes-12</v>
      </c>
      <c r="L626">
        <f t="shared" si="38"/>
        <v>2023</v>
      </c>
      <c r="M626" s="2" t="str">
        <f t="shared" si="39"/>
        <v>T4-2023</v>
      </c>
    </row>
    <row r="627" spans="1:13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 t="str">
        <f t="shared" si="36"/>
        <v>60+</v>
      </c>
      <c r="K627" t="str">
        <f t="shared" si="37"/>
        <v>viernes-09</v>
      </c>
      <c r="L627">
        <f t="shared" si="38"/>
        <v>2023</v>
      </c>
      <c r="M627" s="2" t="str">
        <f t="shared" si="39"/>
        <v>T3-2023</v>
      </c>
    </row>
    <row r="628" spans="1:13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 t="str">
        <f t="shared" si="36"/>
        <v>60+</v>
      </c>
      <c r="K628" t="str">
        <f t="shared" si="37"/>
        <v>sábado-10</v>
      </c>
      <c r="L628">
        <f t="shared" si="38"/>
        <v>2023</v>
      </c>
      <c r="M628" s="2" t="str">
        <f t="shared" si="39"/>
        <v>T4-2023</v>
      </c>
    </row>
    <row r="629" spans="1:13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 t="str">
        <f t="shared" si="36"/>
        <v>60+</v>
      </c>
      <c r="K629" t="str">
        <f t="shared" si="37"/>
        <v>miércoles-11</v>
      </c>
      <c r="L629">
        <f t="shared" si="38"/>
        <v>2023</v>
      </c>
      <c r="M629" s="2" t="str">
        <f t="shared" si="39"/>
        <v>T4-2023</v>
      </c>
    </row>
    <row r="630" spans="1:13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 t="str">
        <f t="shared" si="36"/>
        <v>60+</v>
      </c>
      <c r="K630" t="str">
        <f t="shared" si="37"/>
        <v>lunes-06</v>
      </c>
      <c r="L630">
        <f t="shared" si="38"/>
        <v>2023</v>
      </c>
      <c r="M630" s="2" t="str">
        <f t="shared" si="39"/>
        <v>T2-2023</v>
      </c>
    </row>
    <row r="631" spans="1:13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 t="str">
        <f t="shared" si="36"/>
        <v>60+</v>
      </c>
      <c r="K631" t="str">
        <f t="shared" si="37"/>
        <v>martes-08</v>
      </c>
      <c r="L631">
        <f t="shared" si="38"/>
        <v>2023</v>
      </c>
      <c r="M631" s="2" t="str">
        <f t="shared" si="39"/>
        <v>T3-2023</v>
      </c>
    </row>
    <row r="632" spans="1:13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 t="str">
        <f t="shared" si="36"/>
        <v>60+</v>
      </c>
      <c r="K632" t="str">
        <f t="shared" si="37"/>
        <v>viernes-11</v>
      </c>
      <c r="L632">
        <f t="shared" si="38"/>
        <v>2023</v>
      </c>
      <c r="M632" s="2" t="str">
        <f t="shared" si="39"/>
        <v>T4-2023</v>
      </c>
    </row>
    <row r="633" spans="1:13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 t="str">
        <f t="shared" si="36"/>
        <v>60+</v>
      </c>
      <c r="K633" t="str">
        <f t="shared" si="37"/>
        <v>sábado-09</v>
      </c>
      <c r="L633">
        <f t="shared" si="38"/>
        <v>2023</v>
      </c>
      <c r="M633" s="2" t="str">
        <f t="shared" si="39"/>
        <v>T3-2023</v>
      </c>
    </row>
    <row r="634" spans="1:13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 t="str">
        <f t="shared" si="36"/>
        <v>60+</v>
      </c>
      <c r="K634" t="str">
        <f t="shared" si="37"/>
        <v>lunes-08</v>
      </c>
      <c r="L634">
        <f t="shared" si="38"/>
        <v>2023</v>
      </c>
      <c r="M634" s="2" t="str">
        <f t="shared" si="39"/>
        <v>T3-2023</v>
      </c>
    </row>
    <row r="635" spans="1:13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 t="str">
        <f t="shared" si="36"/>
        <v>60+</v>
      </c>
      <c r="K635" t="str">
        <f t="shared" si="37"/>
        <v>domingo-10</v>
      </c>
      <c r="L635">
        <f t="shared" si="38"/>
        <v>2023</v>
      </c>
      <c r="M635" s="2" t="str">
        <f t="shared" si="39"/>
        <v>T4-2023</v>
      </c>
    </row>
    <row r="636" spans="1:13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 t="str">
        <f t="shared" si="36"/>
        <v>60+</v>
      </c>
      <c r="K636" t="str">
        <f t="shared" si="37"/>
        <v>jueves-08</v>
      </c>
      <c r="L636">
        <f t="shared" si="38"/>
        <v>2023</v>
      </c>
      <c r="M636" s="2" t="str">
        <f t="shared" si="39"/>
        <v>T3-2023</v>
      </c>
    </row>
    <row r="637" spans="1:13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 t="str">
        <f t="shared" si="36"/>
        <v>60+</v>
      </c>
      <c r="K637" t="str">
        <f t="shared" si="37"/>
        <v>jueves-03</v>
      </c>
      <c r="L637">
        <f t="shared" si="38"/>
        <v>2023</v>
      </c>
      <c r="M637" s="2" t="str">
        <f t="shared" si="39"/>
        <v>T1-2023</v>
      </c>
    </row>
    <row r="638" spans="1:13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 t="str">
        <f t="shared" si="36"/>
        <v>60+</v>
      </c>
      <c r="K638" t="str">
        <f t="shared" si="37"/>
        <v>viernes-09</v>
      </c>
      <c r="L638">
        <f t="shared" si="38"/>
        <v>2023</v>
      </c>
      <c r="M638" s="2" t="str">
        <f t="shared" si="39"/>
        <v>T3-2023</v>
      </c>
    </row>
    <row r="639" spans="1:13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 t="str">
        <f t="shared" si="36"/>
        <v>60+</v>
      </c>
      <c r="K639" t="str">
        <f t="shared" si="37"/>
        <v>sábado-08</v>
      </c>
      <c r="L639">
        <f t="shared" si="38"/>
        <v>2023</v>
      </c>
      <c r="M639" s="2" t="str">
        <f t="shared" si="39"/>
        <v>T3-2023</v>
      </c>
    </row>
    <row r="640" spans="1:13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 t="str">
        <f t="shared" si="36"/>
        <v>60+</v>
      </c>
      <c r="K640" t="str">
        <f t="shared" si="37"/>
        <v>sábado-05</v>
      </c>
      <c r="L640">
        <f t="shared" si="38"/>
        <v>2023</v>
      </c>
      <c r="M640" s="2" t="str">
        <f t="shared" si="39"/>
        <v>T2-2023</v>
      </c>
    </row>
    <row r="641" spans="1:13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 t="str">
        <f t="shared" si="36"/>
        <v>60+</v>
      </c>
      <c r="K641" t="str">
        <f t="shared" si="37"/>
        <v>domingo-05</v>
      </c>
      <c r="L641">
        <f t="shared" si="38"/>
        <v>2023</v>
      </c>
      <c r="M641" s="2" t="str">
        <f t="shared" si="39"/>
        <v>T2-2023</v>
      </c>
    </row>
    <row r="642" spans="1:13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 t="str">
        <f t="shared" ref="J642:J705" si="40">IF(D642&lt;30,"18-29",IF(D642&lt;45,"30-44",IF(D642&lt;60,"45-59","60+")))</f>
        <v>60+</v>
      </c>
      <c r="K642" t="str">
        <f t="shared" ref="K642:K705" si="41">TEXT(B642,"AAAA-MM")</f>
        <v>jueves-11</v>
      </c>
      <c r="L642">
        <f t="shared" ref="L642:L705" si="42">YEAR(B642)</f>
        <v>2023</v>
      </c>
      <c r="M642" s="2" t="str">
        <f t="shared" ref="M642:M705" si="43">"T"&amp;INT((MONTH(B642)-1)/3+1)&amp;"-"&amp;YEAR(B642)</f>
        <v>T4-2023</v>
      </c>
    </row>
    <row r="643" spans="1:13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 t="str">
        <f t="shared" si="40"/>
        <v>60+</v>
      </c>
      <c r="K643" t="str">
        <f t="shared" si="41"/>
        <v>lunes-05</v>
      </c>
      <c r="L643">
        <f t="shared" si="42"/>
        <v>2023</v>
      </c>
      <c r="M643" s="2" t="str">
        <f t="shared" si="43"/>
        <v>T2-2023</v>
      </c>
    </row>
    <row r="644" spans="1:13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 t="str">
        <f t="shared" si="40"/>
        <v>60+</v>
      </c>
      <c r="K644" t="str">
        <f t="shared" si="41"/>
        <v>domingo-09</v>
      </c>
      <c r="L644">
        <f t="shared" si="42"/>
        <v>2023</v>
      </c>
      <c r="M644" s="2" t="str">
        <f t="shared" si="43"/>
        <v>T3-2023</v>
      </c>
    </row>
    <row r="645" spans="1:13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 t="str">
        <f t="shared" si="40"/>
        <v>60+</v>
      </c>
      <c r="K645" t="str">
        <f t="shared" si="41"/>
        <v>miércoles-09</v>
      </c>
      <c r="L645">
        <f t="shared" si="42"/>
        <v>2023</v>
      </c>
      <c r="M645" s="2" t="str">
        <f t="shared" si="43"/>
        <v>T3-2023</v>
      </c>
    </row>
    <row r="646" spans="1:13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 t="str">
        <f t="shared" si="40"/>
        <v>60+</v>
      </c>
      <c r="K646" t="str">
        <f t="shared" si="41"/>
        <v>viernes-11</v>
      </c>
      <c r="L646">
        <f t="shared" si="42"/>
        <v>2023</v>
      </c>
      <c r="M646" s="2" t="str">
        <f t="shared" si="43"/>
        <v>T4-2023</v>
      </c>
    </row>
    <row r="647" spans="1:13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 t="str">
        <f t="shared" si="40"/>
        <v>60+</v>
      </c>
      <c r="K647" t="str">
        <f t="shared" si="41"/>
        <v>miércoles-05</v>
      </c>
      <c r="L647">
        <f t="shared" si="42"/>
        <v>2023</v>
      </c>
      <c r="M647" s="2" t="str">
        <f t="shared" si="43"/>
        <v>T2-2023</v>
      </c>
    </row>
    <row r="648" spans="1:13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 t="str">
        <f t="shared" si="40"/>
        <v>60+</v>
      </c>
      <c r="K648" t="str">
        <f t="shared" si="41"/>
        <v>domingo-05</v>
      </c>
      <c r="L648">
        <f t="shared" si="42"/>
        <v>2023</v>
      </c>
      <c r="M648" s="2" t="str">
        <f t="shared" si="43"/>
        <v>T2-2023</v>
      </c>
    </row>
    <row r="649" spans="1:13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 t="str">
        <f t="shared" si="40"/>
        <v>60+</v>
      </c>
      <c r="K649" t="str">
        <f t="shared" si="41"/>
        <v>lunes-08</v>
      </c>
      <c r="L649">
        <f t="shared" si="42"/>
        <v>2023</v>
      </c>
      <c r="M649" s="2" t="str">
        <f t="shared" si="43"/>
        <v>T3-2023</v>
      </c>
    </row>
    <row r="650" spans="1:13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 t="str">
        <f t="shared" si="40"/>
        <v>60+</v>
      </c>
      <c r="K650" t="str">
        <f t="shared" si="41"/>
        <v>jueves-02</v>
      </c>
      <c r="L650">
        <f t="shared" si="42"/>
        <v>2023</v>
      </c>
      <c r="M650" s="2" t="str">
        <f t="shared" si="43"/>
        <v>T1-2023</v>
      </c>
    </row>
    <row r="651" spans="1:13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 t="str">
        <f t="shared" si="40"/>
        <v>60+</v>
      </c>
      <c r="K651" t="str">
        <f t="shared" si="41"/>
        <v>lunes-01</v>
      </c>
      <c r="L651">
        <f t="shared" si="42"/>
        <v>2024</v>
      </c>
      <c r="M651" s="2" t="str">
        <f t="shared" si="43"/>
        <v>T1-2024</v>
      </c>
    </row>
    <row r="652" spans="1:13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 t="str">
        <f t="shared" si="40"/>
        <v>60+</v>
      </c>
      <c r="K652" t="str">
        <f t="shared" si="41"/>
        <v>sábado-05</v>
      </c>
      <c r="L652">
        <f t="shared" si="42"/>
        <v>2023</v>
      </c>
      <c r="M652" s="2" t="str">
        <f t="shared" si="43"/>
        <v>T2-2023</v>
      </c>
    </row>
    <row r="653" spans="1:13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 t="str">
        <f t="shared" si="40"/>
        <v>60+</v>
      </c>
      <c r="K653" t="str">
        <f t="shared" si="41"/>
        <v>lunes-05</v>
      </c>
      <c r="L653">
        <f t="shared" si="42"/>
        <v>2023</v>
      </c>
      <c r="M653" s="2" t="str">
        <f t="shared" si="43"/>
        <v>T2-2023</v>
      </c>
    </row>
    <row r="654" spans="1:13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 t="str">
        <f t="shared" si="40"/>
        <v>60+</v>
      </c>
      <c r="K654" t="str">
        <f t="shared" si="41"/>
        <v>sábado-05</v>
      </c>
      <c r="L654">
        <f t="shared" si="42"/>
        <v>2023</v>
      </c>
      <c r="M654" s="2" t="str">
        <f t="shared" si="43"/>
        <v>T2-2023</v>
      </c>
    </row>
    <row r="655" spans="1:13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 t="str">
        <f t="shared" si="40"/>
        <v>60+</v>
      </c>
      <c r="K655" t="str">
        <f t="shared" si="41"/>
        <v>miércoles-06</v>
      </c>
      <c r="L655">
        <f t="shared" si="42"/>
        <v>2023</v>
      </c>
      <c r="M655" s="2" t="str">
        <f t="shared" si="43"/>
        <v>T2-2023</v>
      </c>
    </row>
    <row r="656" spans="1:13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 t="str">
        <f t="shared" si="40"/>
        <v>60+</v>
      </c>
      <c r="K656" t="str">
        <f t="shared" si="41"/>
        <v>martes-06</v>
      </c>
      <c r="L656">
        <f t="shared" si="42"/>
        <v>2023</v>
      </c>
      <c r="M656" s="2" t="str">
        <f t="shared" si="43"/>
        <v>T2-2023</v>
      </c>
    </row>
    <row r="657" spans="1:13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 t="str">
        <f t="shared" si="40"/>
        <v>60+</v>
      </c>
      <c r="K657" t="str">
        <f t="shared" si="41"/>
        <v>miércoles-10</v>
      </c>
      <c r="L657">
        <f t="shared" si="42"/>
        <v>2023</v>
      </c>
      <c r="M657" s="2" t="str">
        <f t="shared" si="43"/>
        <v>T4-2023</v>
      </c>
    </row>
    <row r="658" spans="1:13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 t="str">
        <f t="shared" si="40"/>
        <v>60+</v>
      </c>
      <c r="K658" t="str">
        <f t="shared" si="41"/>
        <v>sábado-02</v>
      </c>
      <c r="L658">
        <f t="shared" si="42"/>
        <v>2023</v>
      </c>
      <c r="M658" s="2" t="str">
        <f t="shared" si="43"/>
        <v>T1-2023</v>
      </c>
    </row>
    <row r="659" spans="1:13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 t="str">
        <f t="shared" si="40"/>
        <v>60+</v>
      </c>
      <c r="K659" t="str">
        <f t="shared" si="41"/>
        <v>domingo-03</v>
      </c>
      <c r="L659">
        <f t="shared" si="42"/>
        <v>2023</v>
      </c>
      <c r="M659" s="2" t="str">
        <f t="shared" si="43"/>
        <v>T1-2023</v>
      </c>
    </row>
    <row r="660" spans="1:13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 t="str">
        <f t="shared" si="40"/>
        <v>60+</v>
      </c>
      <c r="K660" t="str">
        <f t="shared" si="41"/>
        <v>domingo-03</v>
      </c>
      <c r="L660">
        <f t="shared" si="42"/>
        <v>2023</v>
      </c>
      <c r="M660" s="2" t="str">
        <f t="shared" si="43"/>
        <v>T1-2023</v>
      </c>
    </row>
    <row r="661" spans="1:13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 t="str">
        <f t="shared" si="40"/>
        <v>60+</v>
      </c>
      <c r="K661" t="str">
        <f t="shared" si="41"/>
        <v>sábado-04</v>
      </c>
      <c r="L661">
        <f t="shared" si="42"/>
        <v>2023</v>
      </c>
      <c r="M661" s="2" t="str">
        <f t="shared" si="43"/>
        <v>T2-2023</v>
      </c>
    </row>
    <row r="662" spans="1:13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 t="str">
        <f t="shared" si="40"/>
        <v>60+</v>
      </c>
      <c r="K662" t="str">
        <f t="shared" si="41"/>
        <v>domingo-07</v>
      </c>
      <c r="L662">
        <f t="shared" si="42"/>
        <v>2023</v>
      </c>
      <c r="M662" s="2" t="str">
        <f t="shared" si="43"/>
        <v>T3-2023</v>
      </c>
    </row>
    <row r="663" spans="1:13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 t="str">
        <f t="shared" si="40"/>
        <v>60+</v>
      </c>
      <c r="K663" t="str">
        <f t="shared" si="41"/>
        <v>viernes-12</v>
      </c>
      <c r="L663">
        <f t="shared" si="42"/>
        <v>2023</v>
      </c>
      <c r="M663" s="2" t="str">
        <f t="shared" si="43"/>
        <v>T4-2023</v>
      </c>
    </row>
    <row r="664" spans="1:13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 t="str">
        <f t="shared" si="40"/>
        <v>60+</v>
      </c>
      <c r="K664" t="str">
        <f t="shared" si="41"/>
        <v>lunes-03</v>
      </c>
      <c r="L664">
        <f t="shared" si="42"/>
        <v>2023</v>
      </c>
      <c r="M664" s="2" t="str">
        <f t="shared" si="43"/>
        <v>T1-2023</v>
      </c>
    </row>
    <row r="665" spans="1:13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 t="str">
        <f t="shared" si="40"/>
        <v>60+</v>
      </c>
      <c r="K665" t="str">
        <f t="shared" si="41"/>
        <v>jueves-12</v>
      </c>
      <c r="L665">
        <f t="shared" si="42"/>
        <v>2023</v>
      </c>
      <c r="M665" s="2" t="str">
        <f t="shared" si="43"/>
        <v>T4-2023</v>
      </c>
    </row>
    <row r="666" spans="1:13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 t="str">
        <f t="shared" si="40"/>
        <v>60+</v>
      </c>
      <c r="K666" t="str">
        <f t="shared" si="41"/>
        <v>jueves-04</v>
      </c>
      <c r="L666">
        <f t="shared" si="42"/>
        <v>2023</v>
      </c>
      <c r="M666" s="2" t="str">
        <f t="shared" si="43"/>
        <v>T2-2023</v>
      </c>
    </row>
    <row r="667" spans="1:13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 t="str">
        <f t="shared" si="40"/>
        <v>60+</v>
      </c>
      <c r="K667" t="str">
        <f t="shared" si="41"/>
        <v>jueves-02</v>
      </c>
      <c r="L667">
        <f t="shared" si="42"/>
        <v>2023</v>
      </c>
      <c r="M667" s="2" t="str">
        <f t="shared" si="43"/>
        <v>T1-2023</v>
      </c>
    </row>
    <row r="668" spans="1:13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 t="str">
        <f t="shared" si="40"/>
        <v>60+</v>
      </c>
      <c r="K668" t="str">
        <f t="shared" si="41"/>
        <v>martes-08</v>
      </c>
      <c r="L668">
        <f t="shared" si="42"/>
        <v>2023</v>
      </c>
      <c r="M668" s="2" t="str">
        <f t="shared" si="43"/>
        <v>T3-2023</v>
      </c>
    </row>
    <row r="669" spans="1:13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 t="str">
        <f t="shared" si="40"/>
        <v>60+</v>
      </c>
      <c r="K669" t="str">
        <f t="shared" si="41"/>
        <v>viernes-07</v>
      </c>
      <c r="L669">
        <f t="shared" si="42"/>
        <v>2023</v>
      </c>
      <c r="M669" s="2" t="str">
        <f t="shared" si="43"/>
        <v>T3-2023</v>
      </c>
    </row>
    <row r="670" spans="1:13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 t="str">
        <f t="shared" si="40"/>
        <v>60+</v>
      </c>
      <c r="K670" t="str">
        <f t="shared" si="41"/>
        <v>lunes-06</v>
      </c>
      <c r="L670">
        <f t="shared" si="42"/>
        <v>2023</v>
      </c>
      <c r="M670" s="2" t="str">
        <f t="shared" si="43"/>
        <v>T2-2023</v>
      </c>
    </row>
    <row r="671" spans="1:13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 t="str">
        <f t="shared" si="40"/>
        <v>60+</v>
      </c>
      <c r="K671" t="str">
        <f t="shared" si="41"/>
        <v>jueves-10</v>
      </c>
      <c r="L671">
        <f t="shared" si="42"/>
        <v>2023</v>
      </c>
      <c r="M671" s="2" t="str">
        <f t="shared" si="43"/>
        <v>T4-2023</v>
      </c>
    </row>
    <row r="672" spans="1:13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 t="str">
        <f t="shared" si="40"/>
        <v>60+</v>
      </c>
      <c r="K672" t="str">
        <f t="shared" si="41"/>
        <v>domingo-08</v>
      </c>
      <c r="L672">
        <f t="shared" si="42"/>
        <v>2023</v>
      </c>
      <c r="M672" s="2" t="str">
        <f t="shared" si="43"/>
        <v>T3-2023</v>
      </c>
    </row>
    <row r="673" spans="1:13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 t="str">
        <f t="shared" si="40"/>
        <v>60+</v>
      </c>
      <c r="K673" t="str">
        <f t="shared" si="41"/>
        <v>martes-08</v>
      </c>
      <c r="L673">
        <f t="shared" si="42"/>
        <v>2023</v>
      </c>
      <c r="M673" s="2" t="str">
        <f t="shared" si="43"/>
        <v>T3-2023</v>
      </c>
    </row>
    <row r="674" spans="1:13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 t="str">
        <f t="shared" si="40"/>
        <v>60+</v>
      </c>
      <c r="K674" t="str">
        <f t="shared" si="41"/>
        <v>miércoles-02</v>
      </c>
      <c r="L674">
        <f t="shared" si="42"/>
        <v>2023</v>
      </c>
      <c r="M674" s="2" t="str">
        <f t="shared" si="43"/>
        <v>T1-2023</v>
      </c>
    </row>
    <row r="675" spans="1:13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 t="str">
        <f t="shared" si="40"/>
        <v>60+</v>
      </c>
      <c r="K675" t="str">
        <f t="shared" si="41"/>
        <v>domingo-04</v>
      </c>
      <c r="L675">
        <f t="shared" si="42"/>
        <v>2023</v>
      </c>
      <c r="M675" s="2" t="str">
        <f t="shared" si="43"/>
        <v>T2-2023</v>
      </c>
    </row>
    <row r="676" spans="1:13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 t="str">
        <f t="shared" si="40"/>
        <v>60+</v>
      </c>
      <c r="K676" t="str">
        <f t="shared" si="41"/>
        <v>viernes-08</v>
      </c>
      <c r="L676">
        <f t="shared" si="42"/>
        <v>2023</v>
      </c>
      <c r="M676" s="2" t="str">
        <f t="shared" si="43"/>
        <v>T3-2023</v>
      </c>
    </row>
    <row r="677" spans="1:13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 t="str">
        <f t="shared" si="40"/>
        <v>60+</v>
      </c>
      <c r="K677" t="str">
        <f t="shared" si="41"/>
        <v>miércoles-07</v>
      </c>
      <c r="L677">
        <f t="shared" si="42"/>
        <v>2023</v>
      </c>
      <c r="M677" s="2" t="str">
        <f t="shared" si="43"/>
        <v>T3-2023</v>
      </c>
    </row>
    <row r="678" spans="1:13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 t="str">
        <f t="shared" si="40"/>
        <v>60+</v>
      </c>
      <c r="K678" t="str">
        <f t="shared" si="41"/>
        <v>viernes-10</v>
      </c>
      <c r="L678">
        <f t="shared" si="42"/>
        <v>2023</v>
      </c>
      <c r="M678" s="2" t="str">
        <f t="shared" si="43"/>
        <v>T4-2023</v>
      </c>
    </row>
    <row r="679" spans="1:13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 t="str">
        <f t="shared" si="40"/>
        <v>60+</v>
      </c>
      <c r="K679" t="str">
        <f t="shared" si="41"/>
        <v>sábado-12</v>
      </c>
      <c r="L679">
        <f t="shared" si="42"/>
        <v>2023</v>
      </c>
      <c r="M679" s="2" t="str">
        <f t="shared" si="43"/>
        <v>T4-2023</v>
      </c>
    </row>
    <row r="680" spans="1:13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 t="str">
        <f t="shared" si="40"/>
        <v>60+</v>
      </c>
      <c r="K680" t="str">
        <f t="shared" si="41"/>
        <v>miércoles-01</v>
      </c>
      <c r="L680">
        <f t="shared" si="42"/>
        <v>2023</v>
      </c>
      <c r="M680" s="2" t="str">
        <f t="shared" si="43"/>
        <v>T1-2023</v>
      </c>
    </row>
    <row r="681" spans="1:13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 t="str">
        <f t="shared" si="40"/>
        <v>60+</v>
      </c>
      <c r="K681" t="str">
        <f t="shared" si="41"/>
        <v>domingo-10</v>
      </c>
      <c r="L681">
        <f t="shared" si="42"/>
        <v>2023</v>
      </c>
      <c r="M681" s="2" t="str">
        <f t="shared" si="43"/>
        <v>T4-2023</v>
      </c>
    </row>
    <row r="682" spans="1:13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 t="str">
        <f t="shared" si="40"/>
        <v>60+</v>
      </c>
      <c r="K682" t="str">
        <f t="shared" si="41"/>
        <v>viernes-07</v>
      </c>
      <c r="L682">
        <f t="shared" si="42"/>
        <v>2023</v>
      </c>
      <c r="M682" s="2" t="str">
        <f t="shared" si="43"/>
        <v>T3-2023</v>
      </c>
    </row>
    <row r="683" spans="1:13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 t="str">
        <f t="shared" si="40"/>
        <v>60+</v>
      </c>
      <c r="K683" t="str">
        <f t="shared" si="41"/>
        <v>sábado-09</v>
      </c>
      <c r="L683">
        <f t="shared" si="42"/>
        <v>2023</v>
      </c>
      <c r="M683" s="2" t="str">
        <f t="shared" si="43"/>
        <v>T3-2023</v>
      </c>
    </row>
    <row r="684" spans="1:13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 t="str">
        <f t="shared" si="40"/>
        <v>60+</v>
      </c>
      <c r="K684" t="str">
        <f t="shared" si="41"/>
        <v>miércoles-01</v>
      </c>
      <c r="L684">
        <f t="shared" si="42"/>
        <v>2023</v>
      </c>
      <c r="M684" s="2" t="str">
        <f t="shared" si="43"/>
        <v>T1-2023</v>
      </c>
    </row>
    <row r="685" spans="1:13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 t="str">
        <f t="shared" si="40"/>
        <v>60+</v>
      </c>
      <c r="K685" t="str">
        <f t="shared" si="41"/>
        <v>viernes-06</v>
      </c>
      <c r="L685">
        <f t="shared" si="42"/>
        <v>2023</v>
      </c>
      <c r="M685" s="2" t="str">
        <f t="shared" si="43"/>
        <v>T2-2023</v>
      </c>
    </row>
    <row r="686" spans="1:13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 t="str">
        <f t="shared" si="40"/>
        <v>60+</v>
      </c>
      <c r="K686" t="str">
        <f t="shared" si="41"/>
        <v>viernes-06</v>
      </c>
      <c r="L686">
        <f t="shared" si="42"/>
        <v>2023</v>
      </c>
      <c r="M686" s="2" t="str">
        <f t="shared" si="43"/>
        <v>T2-2023</v>
      </c>
    </row>
    <row r="687" spans="1:13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 t="str">
        <f t="shared" si="40"/>
        <v>60+</v>
      </c>
      <c r="K687" t="str">
        <f t="shared" si="41"/>
        <v>miércoles-07</v>
      </c>
      <c r="L687">
        <f t="shared" si="42"/>
        <v>2023</v>
      </c>
      <c r="M687" s="2" t="str">
        <f t="shared" si="43"/>
        <v>T3-2023</v>
      </c>
    </row>
    <row r="688" spans="1:13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 t="str">
        <f t="shared" si="40"/>
        <v>60+</v>
      </c>
      <c r="K688" t="str">
        <f t="shared" si="41"/>
        <v>jueves-08</v>
      </c>
      <c r="L688">
        <f t="shared" si="42"/>
        <v>2023</v>
      </c>
      <c r="M688" s="2" t="str">
        <f t="shared" si="43"/>
        <v>T3-2023</v>
      </c>
    </row>
    <row r="689" spans="1:13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 t="str">
        <f t="shared" si="40"/>
        <v>60+</v>
      </c>
      <c r="K689" t="str">
        <f t="shared" si="41"/>
        <v>martes-10</v>
      </c>
      <c r="L689">
        <f t="shared" si="42"/>
        <v>2023</v>
      </c>
      <c r="M689" s="2" t="str">
        <f t="shared" si="43"/>
        <v>T4-2023</v>
      </c>
    </row>
    <row r="690" spans="1:13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 t="str">
        <f t="shared" si="40"/>
        <v>60+</v>
      </c>
      <c r="K690" t="str">
        <f t="shared" si="41"/>
        <v>sábado-10</v>
      </c>
      <c r="L690">
        <f t="shared" si="42"/>
        <v>2023</v>
      </c>
      <c r="M690" s="2" t="str">
        <f t="shared" si="43"/>
        <v>T4-2023</v>
      </c>
    </row>
    <row r="691" spans="1:13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 t="str">
        <f t="shared" si="40"/>
        <v>60+</v>
      </c>
      <c r="K691" t="str">
        <f t="shared" si="41"/>
        <v>domingo-11</v>
      </c>
      <c r="L691">
        <f t="shared" si="42"/>
        <v>2023</v>
      </c>
      <c r="M691" s="2" t="str">
        <f t="shared" si="43"/>
        <v>T4-2023</v>
      </c>
    </row>
    <row r="692" spans="1:13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 t="str">
        <f t="shared" si="40"/>
        <v>60+</v>
      </c>
      <c r="K692" t="str">
        <f t="shared" si="41"/>
        <v>domingo-04</v>
      </c>
      <c r="L692">
        <f t="shared" si="42"/>
        <v>2023</v>
      </c>
      <c r="M692" s="2" t="str">
        <f t="shared" si="43"/>
        <v>T2-2023</v>
      </c>
    </row>
    <row r="693" spans="1:13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 t="str">
        <f t="shared" si="40"/>
        <v>60+</v>
      </c>
      <c r="K693" t="str">
        <f t="shared" si="41"/>
        <v>jueves-09</v>
      </c>
      <c r="L693">
        <f t="shared" si="42"/>
        <v>2023</v>
      </c>
      <c r="M693" s="2" t="str">
        <f t="shared" si="43"/>
        <v>T3-2023</v>
      </c>
    </row>
    <row r="694" spans="1:13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 t="str">
        <f t="shared" si="40"/>
        <v>60+</v>
      </c>
      <c r="K694" t="str">
        <f t="shared" si="41"/>
        <v>domingo-04</v>
      </c>
      <c r="L694">
        <f t="shared" si="42"/>
        <v>2023</v>
      </c>
      <c r="M694" s="2" t="str">
        <f t="shared" si="43"/>
        <v>T2-2023</v>
      </c>
    </row>
    <row r="695" spans="1:13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 t="str">
        <f t="shared" si="40"/>
        <v>60+</v>
      </c>
      <c r="K695" t="str">
        <f t="shared" si="41"/>
        <v>sábado-05</v>
      </c>
      <c r="L695">
        <f t="shared" si="42"/>
        <v>2023</v>
      </c>
      <c r="M695" s="2" t="str">
        <f t="shared" si="43"/>
        <v>T2-2023</v>
      </c>
    </row>
    <row r="696" spans="1:13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 t="str">
        <f t="shared" si="40"/>
        <v>60+</v>
      </c>
      <c r="K696" t="str">
        <f t="shared" si="41"/>
        <v>sábado-08</v>
      </c>
      <c r="L696">
        <f t="shared" si="42"/>
        <v>2023</v>
      </c>
      <c r="M696" s="2" t="str">
        <f t="shared" si="43"/>
        <v>T3-2023</v>
      </c>
    </row>
    <row r="697" spans="1:13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 t="str">
        <f t="shared" si="40"/>
        <v>60+</v>
      </c>
      <c r="K697" t="str">
        <f t="shared" si="41"/>
        <v>miércoles-09</v>
      </c>
      <c r="L697">
        <f t="shared" si="42"/>
        <v>2023</v>
      </c>
      <c r="M697" s="2" t="str">
        <f t="shared" si="43"/>
        <v>T3-2023</v>
      </c>
    </row>
    <row r="698" spans="1:13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 t="str">
        <f t="shared" si="40"/>
        <v>60+</v>
      </c>
      <c r="K698" t="str">
        <f t="shared" si="41"/>
        <v>domingo-01</v>
      </c>
      <c r="L698">
        <f t="shared" si="42"/>
        <v>2023</v>
      </c>
      <c r="M698" s="2" t="str">
        <f t="shared" si="43"/>
        <v>T1-2023</v>
      </c>
    </row>
    <row r="699" spans="1:13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 t="str">
        <f t="shared" si="40"/>
        <v>60+</v>
      </c>
      <c r="K699" t="str">
        <f t="shared" si="41"/>
        <v>miércoles-07</v>
      </c>
      <c r="L699">
        <f t="shared" si="42"/>
        <v>2023</v>
      </c>
      <c r="M699" s="2" t="str">
        <f t="shared" si="43"/>
        <v>T3-2023</v>
      </c>
    </row>
    <row r="700" spans="1:13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 t="str">
        <f t="shared" si="40"/>
        <v>60+</v>
      </c>
      <c r="K700" t="str">
        <f t="shared" si="41"/>
        <v>jueves-06</v>
      </c>
      <c r="L700">
        <f t="shared" si="42"/>
        <v>2023</v>
      </c>
      <c r="M700" s="2" t="str">
        <f t="shared" si="43"/>
        <v>T2-2023</v>
      </c>
    </row>
    <row r="701" spans="1:13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 t="str">
        <f t="shared" si="40"/>
        <v>60+</v>
      </c>
      <c r="K701" t="str">
        <f t="shared" si="41"/>
        <v>sábado-12</v>
      </c>
      <c r="L701">
        <f t="shared" si="42"/>
        <v>2023</v>
      </c>
      <c r="M701" s="2" t="str">
        <f t="shared" si="43"/>
        <v>T4-2023</v>
      </c>
    </row>
    <row r="702" spans="1:13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 t="str">
        <f t="shared" si="40"/>
        <v>60+</v>
      </c>
      <c r="K702" t="str">
        <f t="shared" si="41"/>
        <v>jueves-12</v>
      </c>
      <c r="L702">
        <f t="shared" si="42"/>
        <v>2023</v>
      </c>
      <c r="M702" s="2" t="str">
        <f t="shared" si="43"/>
        <v>T4-2023</v>
      </c>
    </row>
    <row r="703" spans="1:13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 t="str">
        <f t="shared" si="40"/>
        <v>60+</v>
      </c>
      <c r="K703" t="str">
        <f t="shared" si="41"/>
        <v>jueves-07</v>
      </c>
      <c r="L703">
        <f t="shared" si="42"/>
        <v>2023</v>
      </c>
      <c r="M703" s="2" t="str">
        <f t="shared" si="43"/>
        <v>T3-2023</v>
      </c>
    </row>
    <row r="704" spans="1:13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 t="str">
        <f t="shared" si="40"/>
        <v>60+</v>
      </c>
      <c r="K704" t="str">
        <f t="shared" si="41"/>
        <v>domingo-03</v>
      </c>
      <c r="L704">
        <f t="shared" si="42"/>
        <v>2023</v>
      </c>
      <c r="M704" s="2" t="str">
        <f t="shared" si="43"/>
        <v>T1-2023</v>
      </c>
    </row>
    <row r="705" spans="1:13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 t="str">
        <f t="shared" si="40"/>
        <v>60+</v>
      </c>
      <c r="K705" t="str">
        <f t="shared" si="41"/>
        <v>lunes-08</v>
      </c>
      <c r="L705">
        <f t="shared" si="42"/>
        <v>2023</v>
      </c>
      <c r="M705" s="2" t="str">
        <f t="shared" si="43"/>
        <v>T3-2023</v>
      </c>
    </row>
    <row r="706" spans="1:13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 t="str">
        <f t="shared" ref="J706:J769" si="44">IF(D706&lt;30,"18-29",IF(D706&lt;45,"30-44",IF(D706&lt;60,"45-59","60+")))</f>
        <v>60+</v>
      </c>
      <c r="K706" t="str">
        <f t="shared" ref="K706:K769" si="45">TEXT(B706,"AAAA-MM")</f>
        <v>martes-03</v>
      </c>
      <c r="L706">
        <f t="shared" ref="L706:L769" si="46">YEAR(B706)</f>
        <v>2023</v>
      </c>
      <c r="M706" s="2" t="str">
        <f t="shared" ref="M706:M769" si="47">"T"&amp;INT((MONTH(B706)-1)/3+1)&amp;"-"&amp;YEAR(B706)</f>
        <v>T1-2023</v>
      </c>
    </row>
    <row r="707" spans="1:13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 t="str">
        <f t="shared" si="44"/>
        <v>60+</v>
      </c>
      <c r="K707" t="str">
        <f t="shared" si="45"/>
        <v>miércoles-11</v>
      </c>
      <c r="L707">
        <f t="shared" si="46"/>
        <v>2023</v>
      </c>
      <c r="M707" s="2" t="str">
        <f t="shared" si="47"/>
        <v>T4-2023</v>
      </c>
    </row>
    <row r="708" spans="1:13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 t="str">
        <f t="shared" si="44"/>
        <v>60+</v>
      </c>
      <c r="K708" t="str">
        <f t="shared" si="45"/>
        <v>domingo-10</v>
      </c>
      <c r="L708">
        <f t="shared" si="46"/>
        <v>2023</v>
      </c>
      <c r="M708" s="2" t="str">
        <f t="shared" si="47"/>
        <v>T4-2023</v>
      </c>
    </row>
    <row r="709" spans="1:13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 t="str">
        <f t="shared" si="44"/>
        <v>60+</v>
      </c>
      <c r="K709" t="str">
        <f t="shared" si="45"/>
        <v>sábado-01</v>
      </c>
      <c r="L709">
        <f t="shared" si="46"/>
        <v>2023</v>
      </c>
      <c r="M709" s="2" t="str">
        <f t="shared" si="47"/>
        <v>T1-2023</v>
      </c>
    </row>
    <row r="710" spans="1:13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 t="str">
        <f t="shared" si="44"/>
        <v>60+</v>
      </c>
      <c r="K710" t="str">
        <f t="shared" si="45"/>
        <v>viernes-07</v>
      </c>
      <c r="L710">
        <f t="shared" si="46"/>
        <v>2023</v>
      </c>
      <c r="M710" s="2" t="str">
        <f t="shared" si="47"/>
        <v>T3-2023</v>
      </c>
    </row>
    <row r="711" spans="1:13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 t="str">
        <f t="shared" si="44"/>
        <v>60+</v>
      </c>
      <c r="K711" t="str">
        <f t="shared" si="45"/>
        <v>martes-10</v>
      </c>
      <c r="L711">
        <f t="shared" si="46"/>
        <v>2023</v>
      </c>
      <c r="M711" s="2" t="str">
        <f t="shared" si="47"/>
        <v>T4-2023</v>
      </c>
    </row>
    <row r="712" spans="1:13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 t="str">
        <f t="shared" si="44"/>
        <v>60+</v>
      </c>
      <c r="K712" t="str">
        <f t="shared" si="45"/>
        <v>lunes-10</v>
      </c>
      <c r="L712">
        <f t="shared" si="46"/>
        <v>2023</v>
      </c>
      <c r="M712" s="2" t="str">
        <f t="shared" si="47"/>
        <v>T4-2023</v>
      </c>
    </row>
    <row r="713" spans="1:13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 t="str">
        <f t="shared" si="44"/>
        <v>60+</v>
      </c>
      <c r="K713" t="str">
        <f t="shared" si="45"/>
        <v>miércoles-12</v>
      </c>
      <c r="L713">
        <f t="shared" si="46"/>
        <v>2023</v>
      </c>
      <c r="M713" s="2" t="str">
        <f t="shared" si="47"/>
        <v>T4-2023</v>
      </c>
    </row>
    <row r="714" spans="1:13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 t="str">
        <f t="shared" si="44"/>
        <v>60+</v>
      </c>
      <c r="K714" t="str">
        <f t="shared" si="45"/>
        <v>sábado-01</v>
      </c>
      <c r="L714">
        <f t="shared" si="46"/>
        <v>2023</v>
      </c>
      <c r="M714" s="2" t="str">
        <f t="shared" si="47"/>
        <v>T1-2023</v>
      </c>
    </row>
    <row r="715" spans="1:13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 t="str">
        <f t="shared" si="44"/>
        <v>60+</v>
      </c>
      <c r="K715" t="str">
        <f t="shared" si="45"/>
        <v>domingo-02</v>
      </c>
      <c r="L715">
        <f t="shared" si="46"/>
        <v>2023</v>
      </c>
      <c r="M715" s="2" t="str">
        <f t="shared" si="47"/>
        <v>T1-2023</v>
      </c>
    </row>
    <row r="716" spans="1:13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 t="str">
        <f t="shared" si="44"/>
        <v>60+</v>
      </c>
      <c r="K716" t="str">
        <f t="shared" si="45"/>
        <v>domingo-11</v>
      </c>
      <c r="L716">
        <f t="shared" si="46"/>
        <v>2023</v>
      </c>
      <c r="M716" s="2" t="str">
        <f t="shared" si="47"/>
        <v>T4-2023</v>
      </c>
    </row>
    <row r="717" spans="1:13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 t="str">
        <f t="shared" si="44"/>
        <v>60+</v>
      </c>
      <c r="K717" t="str">
        <f t="shared" si="45"/>
        <v>martes-08</v>
      </c>
      <c r="L717">
        <f t="shared" si="46"/>
        <v>2023</v>
      </c>
      <c r="M717" s="2" t="str">
        <f t="shared" si="47"/>
        <v>T3-2023</v>
      </c>
    </row>
    <row r="718" spans="1:13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 t="str">
        <f t="shared" si="44"/>
        <v>60+</v>
      </c>
      <c r="K718" t="str">
        <f t="shared" si="45"/>
        <v>sábado-03</v>
      </c>
      <c r="L718">
        <f t="shared" si="46"/>
        <v>2023</v>
      </c>
      <c r="M718" s="2" t="str">
        <f t="shared" si="47"/>
        <v>T1-2023</v>
      </c>
    </row>
    <row r="719" spans="1:13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 t="str">
        <f t="shared" si="44"/>
        <v>60+</v>
      </c>
      <c r="K719" t="str">
        <f t="shared" si="45"/>
        <v>viernes-08</v>
      </c>
      <c r="L719">
        <f t="shared" si="46"/>
        <v>2023</v>
      </c>
      <c r="M719" s="2" t="str">
        <f t="shared" si="47"/>
        <v>T3-2023</v>
      </c>
    </row>
    <row r="720" spans="1:13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 t="str">
        <f t="shared" si="44"/>
        <v>60+</v>
      </c>
      <c r="K720" t="str">
        <f t="shared" si="45"/>
        <v>martes-04</v>
      </c>
      <c r="L720">
        <f t="shared" si="46"/>
        <v>2023</v>
      </c>
      <c r="M720" s="2" t="str">
        <f t="shared" si="47"/>
        <v>T2-2023</v>
      </c>
    </row>
    <row r="721" spans="1:13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 t="str">
        <f t="shared" si="44"/>
        <v>60+</v>
      </c>
      <c r="K721" t="str">
        <f t="shared" si="45"/>
        <v>jueves-01</v>
      </c>
      <c r="L721">
        <f t="shared" si="46"/>
        <v>2023</v>
      </c>
      <c r="M721" s="2" t="str">
        <f t="shared" si="47"/>
        <v>T1-2023</v>
      </c>
    </row>
    <row r="722" spans="1:13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 t="str">
        <f t="shared" si="44"/>
        <v>60+</v>
      </c>
      <c r="K722" t="str">
        <f t="shared" si="45"/>
        <v>domingo-05</v>
      </c>
      <c r="L722">
        <f t="shared" si="46"/>
        <v>2023</v>
      </c>
      <c r="M722" s="2" t="str">
        <f t="shared" si="47"/>
        <v>T2-2023</v>
      </c>
    </row>
    <row r="723" spans="1:13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 t="str">
        <f t="shared" si="44"/>
        <v>60+</v>
      </c>
      <c r="K723" t="str">
        <f t="shared" si="45"/>
        <v>viernes-07</v>
      </c>
      <c r="L723">
        <f t="shared" si="46"/>
        <v>2023</v>
      </c>
      <c r="M723" s="2" t="str">
        <f t="shared" si="47"/>
        <v>T3-2023</v>
      </c>
    </row>
    <row r="724" spans="1:13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 t="str">
        <f t="shared" si="44"/>
        <v>60+</v>
      </c>
      <c r="K724" t="str">
        <f t="shared" si="45"/>
        <v>sábado-06</v>
      </c>
      <c r="L724">
        <f t="shared" si="46"/>
        <v>2023</v>
      </c>
      <c r="M724" s="2" t="str">
        <f t="shared" si="47"/>
        <v>T2-2023</v>
      </c>
    </row>
    <row r="725" spans="1:13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 t="str">
        <f t="shared" si="44"/>
        <v>60+</v>
      </c>
      <c r="K725" t="str">
        <f t="shared" si="45"/>
        <v>miércoles-04</v>
      </c>
      <c r="L725">
        <f t="shared" si="46"/>
        <v>2023</v>
      </c>
      <c r="M725" s="2" t="str">
        <f t="shared" si="47"/>
        <v>T2-2023</v>
      </c>
    </row>
    <row r="726" spans="1:13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 t="str">
        <f t="shared" si="44"/>
        <v>60+</v>
      </c>
      <c r="K726" t="str">
        <f t="shared" si="45"/>
        <v>lunes-08</v>
      </c>
      <c r="L726">
        <f t="shared" si="46"/>
        <v>2023</v>
      </c>
      <c r="M726" s="2" t="str">
        <f t="shared" si="47"/>
        <v>T3-2023</v>
      </c>
    </row>
    <row r="727" spans="1:13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 t="str">
        <f t="shared" si="44"/>
        <v>60+</v>
      </c>
      <c r="K727" t="str">
        <f t="shared" si="45"/>
        <v>sábado-06</v>
      </c>
      <c r="L727">
        <f t="shared" si="46"/>
        <v>2023</v>
      </c>
      <c r="M727" s="2" t="str">
        <f t="shared" si="47"/>
        <v>T2-2023</v>
      </c>
    </row>
    <row r="728" spans="1:13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 t="str">
        <f t="shared" si="44"/>
        <v>60+</v>
      </c>
      <c r="K728" t="str">
        <f t="shared" si="45"/>
        <v>jueves-06</v>
      </c>
      <c r="L728">
        <f t="shared" si="46"/>
        <v>2023</v>
      </c>
      <c r="M728" s="2" t="str">
        <f t="shared" si="47"/>
        <v>T2-2023</v>
      </c>
    </row>
    <row r="729" spans="1:13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 t="str">
        <f t="shared" si="44"/>
        <v>60+</v>
      </c>
      <c r="K729" t="str">
        <f t="shared" si="45"/>
        <v>viernes-07</v>
      </c>
      <c r="L729">
        <f t="shared" si="46"/>
        <v>2023</v>
      </c>
      <c r="M729" s="2" t="str">
        <f t="shared" si="47"/>
        <v>T3-2023</v>
      </c>
    </row>
    <row r="730" spans="1:13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 t="str">
        <f t="shared" si="44"/>
        <v>60+</v>
      </c>
      <c r="K730" t="str">
        <f t="shared" si="45"/>
        <v>martes-05</v>
      </c>
      <c r="L730">
        <f t="shared" si="46"/>
        <v>2023</v>
      </c>
      <c r="M730" s="2" t="str">
        <f t="shared" si="47"/>
        <v>T2-2023</v>
      </c>
    </row>
    <row r="731" spans="1:13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 t="str">
        <f t="shared" si="44"/>
        <v>60+</v>
      </c>
      <c r="K731" t="str">
        <f t="shared" si="45"/>
        <v>viernes-08</v>
      </c>
      <c r="L731">
        <f t="shared" si="46"/>
        <v>2023</v>
      </c>
      <c r="M731" s="2" t="str">
        <f t="shared" si="47"/>
        <v>T3-2023</v>
      </c>
    </row>
    <row r="732" spans="1:13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 t="str">
        <f t="shared" si="44"/>
        <v>60+</v>
      </c>
      <c r="K732" t="str">
        <f t="shared" si="45"/>
        <v>miércoles-05</v>
      </c>
      <c r="L732">
        <f t="shared" si="46"/>
        <v>2023</v>
      </c>
      <c r="M732" s="2" t="str">
        <f t="shared" si="47"/>
        <v>T2-2023</v>
      </c>
    </row>
    <row r="733" spans="1:13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 t="str">
        <f t="shared" si="44"/>
        <v>60+</v>
      </c>
      <c r="K733" t="str">
        <f t="shared" si="45"/>
        <v>sábado-02</v>
      </c>
      <c r="L733">
        <f t="shared" si="46"/>
        <v>2023</v>
      </c>
      <c r="M733" s="2" t="str">
        <f t="shared" si="47"/>
        <v>T1-2023</v>
      </c>
    </row>
    <row r="734" spans="1:13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 t="str">
        <f t="shared" si="44"/>
        <v>60+</v>
      </c>
      <c r="K734" t="str">
        <f t="shared" si="45"/>
        <v>martes-08</v>
      </c>
      <c r="L734">
        <f t="shared" si="46"/>
        <v>2023</v>
      </c>
      <c r="M734" s="2" t="str">
        <f t="shared" si="47"/>
        <v>T3-2023</v>
      </c>
    </row>
    <row r="735" spans="1:13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 t="str">
        <f t="shared" si="44"/>
        <v>60+</v>
      </c>
      <c r="K735" t="str">
        <f t="shared" si="45"/>
        <v>martes-01</v>
      </c>
      <c r="L735">
        <f t="shared" si="46"/>
        <v>2023</v>
      </c>
      <c r="M735" s="2" t="str">
        <f t="shared" si="47"/>
        <v>T1-2023</v>
      </c>
    </row>
    <row r="736" spans="1:13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 t="str">
        <f t="shared" si="44"/>
        <v>60+</v>
      </c>
      <c r="K736" t="str">
        <f t="shared" si="45"/>
        <v>miércoles-10</v>
      </c>
      <c r="L736">
        <f t="shared" si="46"/>
        <v>2023</v>
      </c>
      <c r="M736" s="2" t="str">
        <f t="shared" si="47"/>
        <v>T4-2023</v>
      </c>
    </row>
    <row r="737" spans="1:13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 t="str">
        <f t="shared" si="44"/>
        <v>60+</v>
      </c>
      <c r="K737" t="str">
        <f t="shared" si="45"/>
        <v>viernes-01</v>
      </c>
      <c r="L737">
        <f t="shared" si="46"/>
        <v>2023</v>
      </c>
      <c r="M737" s="2" t="str">
        <f t="shared" si="47"/>
        <v>T1-2023</v>
      </c>
    </row>
    <row r="738" spans="1:13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 t="str">
        <f t="shared" si="44"/>
        <v>60+</v>
      </c>
      <c r="K738" t="str">
        <f t="shared" si="45"/>
        <v>jueves-06</v>
      </c>
      <c r="L738">
        <f t="shared" si="46"/>
        <v>2023</v>
      </c>
      <c r="M738" s="2" t="str">
        <f t="shared" si="47"/>
        <v>T2-2023</v>
      </c>
    </row>
    <row r="739" spans="1:13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 t="str">
        <f t="shared" si="44"/>
        <v>60+</v>
      </c>
      <c r="K739" t="str">
        <f t="shared" si="45"/>
        <v>martes-04</v>
      </c>
      <c r="L739">
        <f t="shared" si="46"/>
        <v>2023</v>
      </c>
      <c r="M739" s="2" t="str">
        <f t="shared" si="47"/>
        <v>T2-2023</v>
      </c>
    </row>
    <row r="740" spans="1:13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 t="str">
        <f t="shared" si="44"/>
        <v>60+</v>
      </c>
      <c r="K740" t="str">
        <f t="shared" si="45"/>
        <v>miércoles-11</v>
      </c>
      <c r="L740">
        <f t="shared" si="46"/>
        <v>2023</v>
      </c>
      <c r="M740" s="2" t="str">
        <f t="shared" si="47"/>
        <v>T4-2023</v>
      </c>
    </row>
    <row r="741" spans="1:13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 t="str">
        <f t="shared" si="44"/>
        <v>60+</v>
      </c>
      <c r="K741" t="str">
        <f t="shared" si="45"/>
        <v>domingo-02</v>
      </c>
      <c r="L741">
        <f t="shared" si="46"/>
        <v>2023</v>
      </c>
      <c r="M741" s="2" t="str">
        <f t="shared" si="47"/>
        <v>T1-2023</v>
      </c>
    </row>
    <row r="742" spans="1:13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 t="str">
        <f t="shared" si="44"/>
        <v>60+</v>
      </c>
      <c r="K742" t="str">
        <f t="shared" si="45"/>
        <v>jueves-11</v>
      </c>
      <c r="L742">
        <f t="shared" si="46"/>
        <v>2023</v>
      </c>
      <c r="M742" s="2" t="str">
        <f t="shared" si="47"/>
        <v>T4-2023</v>
      </c>
    </row>
    <row r="743" spans="1:13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 t="str">
        <f t="shared" si="44"/>
        <v>60+</v>
      </c>
      <c r="K743" t="str">
        <f t="shared" si="45"/>
        <v>sábado-01</v>
      </c>
      <c r="L743">
        <f t="shared" si="46"/>
        <v>2023</v>
      </c>
      <c r="M743" s="2" t="str">
        <f t="shared" si="47"/>
        <v>T1-2023</v>
      </c>
    </row>
    <row r="744" spans="1:13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 t="str">
        <f t="shared" si="44"/>
        <v>60+</v>
      </c>
      <c r="K744" t="str">
        <f t="shared" si="45"/>
        <v>lunes-01</v>
      </c>
      <c r="L744">
        <f t="shared" si="46"/>
        <v>2023</v>
      </c>
      <c r="M744" s="2" t="str">
        <f t="shared" si="47"/>
        <v>T1-2023</v>
      </c>
    </row>
    <row r="745" spans="1:13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 t="str">
        <f t="shared" si="44"/>
        <v>60+</v>
      </c>
      <c r="K745" t="str">
        <f t="shared" si="45"/>
        <v>domingo-05</v>
      </c>
      <c r="L745">
        <f t="shared" si="46"/>
        <v>2023</v>
      </c>
      <c r="M745" s="2" t="str">
        <f t="shared" si="47"/>
        <v>T2-2023</v>
      </c>
    </row>
    <row r="746" spans="1:13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 t="str">
        <f t="shared" si="44"/>
        <v>60+</v>
      </c>
      <c r="K746" t="str">
        <f t="shared" si="45"/>
        <v>jueves-04</v>
      </c>
      <c r="L746">
        <f t="shared" si="46"/>
        <v>2023</v>
      </c>
      <c r="M746" s="2" t="str">
        <f t="shared" si="47"/>
        <v>T2-2023</v>
      </c>
    </row>
    <row r="747" spans="1:13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 t="str">
        <f t="shared" si="44"/>
        <v>60+</v>
      </c>
      <c r="K747" t="str">
        <f t="shared" si="45"/>
        <v>miércoles-01</v>
      </c>
      <c r="L747">
        <f t="shared" si="46"/>
        <v>2023</v>
      </c>
      <c r="M747" s="2" t="str">
        <f t="shared" si="47"/>
        <v>T1-2023</v>
      </c>
    </row>
    <row r="748" spans="1:13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 t="str">
        <f t="shared" si="44"/>
        <v>60+</v>
      </c>
      <c r="K748" t="str">
        <f t="shared" si="45"/>
        <v>miércoles-11</v>
      </c>
      <c r="L748">
        <f t="shared" si="46"/>
        <v>2023</v>
      </c>
      <c r="M748" s="2" t="str">
        <f t="shared" si="47"/>
        <v>T4-2023</v>
      </c>
    </row>
    <row r="749" spans="1:13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 t="str">
        <f t="shared" si="44"/>
        <v>60+</v>
      </c>
      <c r="K749" t="str">
        <f t="shared" si="45"/>
        <v>lunes-03</v>
      </c>
      <c r="L749">
        <f t="shared" si="46"/>
        <v>2023</v>
      </c>
      <c r="M749" s="2" t="str">
        <f t="shared" si="47"/>
        <v>T1-2023</v>
      </c>
    </row>
    <row r="750" spans="1:13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 t="str">
        <f t="shared" si="44"/>
        <v>60+</v>
      </c>
      <c r="K750" t="str">
        <f t="shared" si="45"/>
        <v>miércoles-05</v>
      </c>
      <c r="L750">
        <f t="shared" si="46"/>
        <v>2023</v>
      </c>
      <c r="M750" s="2" t="str">
        <f t="shared" si="47"/>
        <v>T2-2023</v>
      </c>
    </row>
    <row r="751" spans="1:13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 t="str">
        <f t="shared" si="44"/>
        <v>60+</v>
      </c>
      <c r="K751" t="str">
        <f t="shared" si="45"/>
        <v>lunes-03</v>
      </c>
      <c r="L751">
        <f t="shared" si="46"/>
        <v>2023</v>
      </c>
      <c r="M751" s="2" t="str">
        <f t="shared" si="47"/>
        <v>T1-2023</v>
      </c>
    </row>
    <row r="752" spans="1:13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 t="str">
        <f t="shared" si="44"/>
        <v>60+</v>
      </c>
      <c r="K752" t="str">
        <f t="shared" si="45"/>
        <v>jueves-08</v>
      </c>
      <c r="L752">
        <f t="shared" si="46"/>
        <v>2023</v>
      </c>
      <c r="M752" s="2" t="str">
        <f t="shared" si="47"/>
        <v>T3-2023</v>
      </c>
    </row>
    <row r="753" spans="1:13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 t="str">
        <f t="shared" si="44"/>
        <v>60+</v>
      </c>
      <c r="K753" t="str">
        <f t="shared" si="45"/>
        <v>sábado-12</v>
      </c>
      <c r="L753">
        <f t="shared" si="46"/>
        <v>2023</v>
      </c>
      <c r="M753" s="2" t="str">
        <f t="shared" si="47"/>
        <v>T4-2023</v>
      </c>
    </row>
    <row r="754" spans="1:13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 t="str">
        <f t="shared" si="44"/>
        <v>60+</v>
      </c>
      <c r="K754" t="str">
        <f t="shared" si="45"/>
        <v>martes-02</v>
      </c>
      <c r="L754">
        <f t="shared" si="46"/>
        <v>2023</v>
      </c>
      <c r="M754" s="2" t="str">
        <f t="shared" si="47"/>
        <v>T1-2023</v>
      </c>
    </row>
    <row r="755" spans="1:13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 t="str">
        <f t="shared" si="44"/>
        <v>60+</v>
      </c>
      <c r="K755" t="str">
        <f t="shared" si="45"/>
        <v>lunes-10</v>
      </c>
      <c r="L755">
        <f t="shared" si="46"/>
        <v>2023</v>
      </c>
      <c r="M755" s="2" t="str">
        <f t="shared" si="47"/>
        <v>T4-2023</v>
      </c>
    </row>
    <row r="756" spans="1:13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 t="str">
        <f t="shared" si="44"/>
        <v>60+</v>
      </c>
      <c r="K756" t="str">
        <f t="shared" si="45"/>
        <v>sábado-04</v>
      </c>
      <c r="L756">
        <f t="shared" si="46"/>
        <v>2023</v>
      </c>
      <c r="M756" s="2" t="str">
        <f t="shared" si="47"/>
        <v>T2-2023</v>
      </c>
    </row>
    <row r="757" spans="1:13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 t="str">
        <f t="shared" si="44"/>
        <v>60+</v>
      </c>
      <c r="K757" t="str">
        <f t="shared" si="45"/>
        <v>domingo-08</v>
      </c>
      <c r="L757">
        <f t="shared" si="46"/>
        <v>2023</v>
      </c>
      <c r="M757" s="2" t="str">
        <f t="shared" si="47"/>
        <v>T3-2023</v>
      </c>
    </row>
    <row r="758" spans="1:13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 t="str">
        <f t="shared" si="44"/>
        <v>60+</v>
      </c>
      <c r="K758" t="str">
        <f t="shared" si="45"/>
        <v>lunes-12</v>
      </c>
      <c r="L758">
        <f t="shared" si="46"/>
        <v>2023</v>
      </c>
      <c r="M758" s="2" t="str">
        <f t="shared" si="47"/>
        <v>T4-2023</v>
      </c>
    </row>
    <row r="759" spans="1:13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 t="str">
        <f t="shared" si="44"/>
        <v>60+</v>
      </c>
      <c r="K759" t="str">
        <f t="shared" si="45"/>
        <v>viernes-05</v>
      </c>
      <c r="L759">
        <f t="shared" si="46"/>
        <v>2023</v>
      </c>
      <c r="M759" s="2" t="str">
        <f t="shared" si="47"/>
        <v>T2-2023</v>
      </c>
    </row>
    <row r="760" spans="1:13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 t="str">
        <f t="shared" si="44"/>
        <v>60+</v>
      </c>
      <c r="K760" t="str">
        <f t="shared" si="45"/>
        <v>sábado-07</v>
      </c>
      <c r="L760">
        <f t="shared" si="46"/>
        <v>2023</v>
      </c>
      <c r="M760" s="2" t="str">
        <f t="shared" si="47"/>
        <v>T3-2023</v>
      </c>
    </row>
    <row r="761" spans="1:13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 t="str">
        <f t="shared" si="44"/>
        <v>60+</v>
      </c>
      <c r="K761" t="str">
        <f t="shared" si="45"/>
        <v>lunes-03</v>
      </c>
      <c r="L761">
        <f t="shared" si="46"/>
        <v>2023</v>
      </c>
      <c r="M761" s="2" t="str">
        <f t="shared" si="47"/>
        <v>T1-2023</v>
      </c>
    </row>
    <row r="762" spans="1:13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 t="str">
        <f t="shared" si="44"/>
        <v>60+</v>
      </c>
      <c r="K762" t="str">
        <f t="shared" si="45"/>
        <v>martes-11</v>
      </c>
      <c r="L762">
        <f t="shared" si="46"/>
        <v>2023</v>
      </c>
      <c r="M762" s="2" t="str">
        <f t="shared" si="47"/>
        <v>T4-2023</v>
      </c>
    </row>
    <row r="763" spans="1:13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 t="str">
        <f t="shared" si="44"/>
        <v>60+</v>
      </c>
      <c r="K763" t="str">
        <f t="shared" si="45"/>
        <v>martes-11</v>
      </c>
      <c r="L763">
        <f t="shared" si="46"/>
        <v>2023</v>
      </c>
      <c r="M763" s="2" t="str">
        <f t="shared" si="47"/>
        <v>T4-2023</v>
      </c>
    </row>
    <row r="764" spans="1:13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 t="str">
        <f t="shared" si="44"/>
        <v>60+</v>
      </c>
      <c r="K764" t="str">
        <f t="shared" si="45"/>
        <v>martes-02</v>
      </c>
      <c r="L764">
        <f t="shared" si="46"/>
        <v>2023</v>
      </c>
      <c r="M764" s="2" t="str">
        <f t="shared" si="47"/>
        <v>T1-2023</v>
      </c>
    </row>
    <row r="765" spans="1:13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 t="str">
        <f t="shared" si="44"/>
        <v>60+</v>
      </c>
      <c r="K765" t="str">
        <f t="shared" si="45"/>
        <v>sábado-03</v>
      </c>
      <c r="L765">
        <f t="shared" si="46"/>
        <v>2023</v>
      </c>
      <c r="M765" s="2" t="str">
        <f t="shared" si="47"/>
        <v>T1-2023</v>
      </c>
    </row>
    <row r="766" spans="1:13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 t="str">
        <f t="shared" si="44"/>
        <v>60+</v>
      </c>
      <c r="K766" t="str">
        <f t="shared" si="45"/>
        <v>viernes-06</v>
      </c>
      <c r="L766">
        <f t="shared" si="46"/>
        <v>2023</v>
      </c>
      <c r="M766" s="2" t="str">
        <f t="shared" si="47"/>
        <v>T2-2023</v>
      </c>
    </row>
    <row r="767" spans="1:13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 t="str">
        <f t="shared" si="44"/>
        <v>60+</v>
      </c>
      <c r="K767" t="str">
        <f t="shared" si="45"/>
        <v>sábado-02</v>
      </c>
      <c r="L767">
        <f t="shared" si="46"/>
        <v>2023</v>
      </c>
      <c r="M767" s="2" t="str">
        <f t="shared" si="47"/>
        <v>T1-2023</v>
      </c>
    </row>
    <row r="768" spans="1:13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 t="str">
        <f t="shared" si="44"/>
        <v>60+</v>
      </c>
      <c r="K768" t="str">
        <f t="shared" si="45"/>
        <v>martes-10</v>
      </c>
      <c r="L768">
        <f t="shared" si="46"/>
        <v>2023</v>
      </c>
      <c r="M768" s="2" t="str">
        <f t="shared" si="47"/>
        <v>T4-2023</v>
      </c>
    </row>
    <row r="769" spans="1:13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 t="str">
        <f t="shared" si="44"/>
        <v>60+</v>
      </c>
      <c r="K769" t="str">
        <f t="shared" si="45"/>
        <v>sábado-01</v>
      </c>
      <c r="L769">
        <f t="shared" si="46"/>
        <v>2023</v>
      </c>
      <c r="M769" s="2" t="str">
        <f t="shared" si="47"/>
        <v>T1-2023</v>
      </c>
    </row>
    <row r="770" spans="1:13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 t="str">
        <f t="shared" ref="J770:J833" si="48">IF(D770&lt;30,"18-29",IF(D770&lt;45,"30-44",IF(D770&lt;60,"45-59","60+")))</f>
        <v>60+</v>
      </c>
      <c r="K770" t="str">
        <f t="shared" ref="K770:K833" si="49">TEXT(B770,"AAAA-MM")</f>
        <v>viernes-06</v>
      </c>
      <c r="L770">
        <f t="shared" ref="L770:L833" si="50">YEAR(B770)</f>
        <v>2023</v>
      </c>
      <c r="M770" s="2" t="str">
        <f t="shared" ref="M770:M833" si="51">"T"&amp;INT((MONTH(B770)-1)/3+1)&amp;"-"&amp;YEAR(B770)</f>
        <v>T2-2023</v>
      </c>
    </row>
    <row r="771" spans="1:13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 t="str">
        <f t="shared" si="48"/>
        <v>60+</v>
      </c>
      <c r="K771" t="str">
        <f t="shared" si="49"/>
        <v>domingo-10</v>
      </c>
      <c r="L771">
        <f t="shared" si="50"/>
        <v>2023</v>
      </c>
      <c r="M771" s="2" t="str">
        <f t="shared" si="51"/>
        <v>T4-2023</v>
      </c>
    </row>
    <row r="772" spans="1:13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 t="str">
        <f t="shared" si="48"/>
        <v>60+</v>
      </c>
      <c r="K772" t="str">
        <f t="shared" si="49"/>
        <v>miércoles-12</v>
      </c>
      <c r="L772">
        <f t="shared" si="50"/>
        <v>2023</v>
      </c>
      <c r="M772" s="2" t="str">
        <f t="shared" si="51"/>
        <v>T4-2023</v>
      </c>
    </row>
    <row r="773" spans="1:13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 t="str">
        <f t="shared" si="48"/>
        <v>60+</v>
      </c>
      <c r="K773" t="str">
        <f t="shared" si="49"/>
        <v>miércoles-07</v>
      </c>
      <c r="L773">
        <f t="shared" si="50"/>
        <v>2023</v>
      </c>
      <c r="M773" s="2" t="str">
        <f t="shared" si="51"/>
        <v>T3-2023</v>
      </c>
    </row>
    <row r="774" spans="1:13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 t="str">
        <f t="shared" si="48"/>
        <v>60+</v>
      </c>
      <c r="K774" t="str">
        <f t="shared" si="49"/>
        <v>domingo-07</v>
      </c>
      <c r="L774">
        <f t="shared" si="50"/>
        <v>2023</v>
      </c>
      <c r="M774" s="2" t="str">
        <f t="shared" si="51"/>
        <v>T3-2023</v>
      </c>
    </row>
    <row r="775" spans="1:13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 t="str">
        <f t="shared" si="48"/>
        <v>60+</v>
      </c>
      <c r="K775" t="str">
        <f t="shared" si="49"/>
        <v>miércoles-04</v>
      </c>
      <c r="L775">
        <f t="shared" si="50"/>
        <v>2023</v>
      </c>
      <c r="M775" s="2" t="str">
        <f t="shared" si="51"/>
        <v>T2-2023</v>
      </c>
    </row>
    <row r="776" spans="1:13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 t="str">
        <f t="shared" si="48"/>
        <v>60+</v>
      </c>
      <c r="K776" t="str">
        <f t="shared" si="49"/>
        <v>miércoles-02</v>
      </c>
      <c r="L776">
        <f t="shared" si="50"/>
        <v>2023</v>
      </c>
      <c r="M776" s="2" t="str">
        <f t="shared" si="51"/>
        <v>T1-2023</v>
      </c>
    </row>
    <row r="777" spans="1:13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 t="str">
        <f t="shared" si="48"/>
        <v>60+</v>
      </c>
      <c r="K777" t="str">
        <f t="shared" si="49"/>
        <v>martes-10</v>
      </c>
      <c r="L777">
        <f t="shared" si="50"/>
        <v>2023</v>
      </c>
      <c r="M777" s="2" t="str">
        <f t="shared" si="51"/>
        <v>T4-2023</v>
      </c>
    </row>
    <row r="778" spans="1:13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 t="str">
        <f t="shared" si="48"/>
        <v>60+</v>
      </c>
      <c r="K778" t="str">
        <f t="shared" si="49"/>
        <v>miércoles-12</v>
      </c>
      <c r="L778">
        <f t="shared" si="50"/>
        <v>2023</v>
      </c>
      <c r="M778" s="2" t="str">
        <f t="shared" si="51"/>
        <v>T4-2023</v>
      </c>
    </row>
    <row r="779" spans="1:13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 t="str">
        <f t="shared" si="48"/>
        <v>60+</v>
      </c>
      <c r="K779" t="str">
        <f t="shared" si="49"/>
        <v>sábado-11</v>
      </c>
      <c r="L779">
        <f t="shared" si="50"/>
        <v>2023</v>
      </c>
      <c r="M779" s="2" t="str">
        <f t="shared" si="51"/>
        <v>T4-2023</v>
      </c>
    </row>
    <row r="780" spans="1:13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 t="str">
        <f t="shared" si="48"/>
        <v>60+</v>
      </c>
      <c r="K780" t="str">
        <f t="shared" si="49"/>
        <v>viernes-05</v>
      </c>
      <c r="L780">
        <f t="shared" si="50"/>
        <v>2023</v>
      </c>
      <c r="M780" s="2" t="str">
        <f t="shared" si="51"/>
        <v>T2-2023</v>
      </c>
    </row>
    <row r="781" spans="1:13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 t="str">
        <f t="shared" si="48"/>
        <v>60+</v>
      </c>
      <c r="K781" t="str">
        <f t="shared" si="49"/>
        <v>miércoles-02</v>
      </c>
      <c r="L781">
        <f t="shared" si="50"/>
        <v>2023</v>
      </c>
      <c r="M781" s="2" t="str">
        <f t="shared" si="51"/>
        <v>T1-2023</v>
      </c>
    </row>
    <row r="782" spans="1:13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 t="str">
        <f t="shared" si="48"/>
        <v>60+</v>
      </c>
      <c r="K782" t="str">
        <f t="shared" si="49"/>
        <v>sábado-12</v>
      </c>
      <c r="L782">
        <f t="shared" si="50"/>
        <v>2023</v>
      </c>
      <c r="M782" s="2" t="str">
        <f t="shared" si="51"/>
        <v>T4-2023</v>
      </c>
    </row>
    <row r="783" spans="1:13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 t="str">
        <f t="shared" si="48"/>
        <v>60+</v>
      </c>
      <c r="K783" t="str">
        <f t="shared" si="49"/>
        <v>domingo-06</v>
      </c>
      <c r="L783">
        <f t="shared" si="50"/>
        <v>2023</v>
      </c>
      <c r="M783" s="2" t="str">
        <f t="shared" si="51"/>
        <v>T2-2023</v>
      </c>
    </row>
    <row r="784" spans="1:13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 t="str">
        <f t="shared" si="48"/>
        <v>60+</v>
      </c>
      <c r="K784" t="str">
        <f t="shared" si="49"/>
        <v>domingo-12</v>
      </c>
      <c r="L784">
        <f t="shared" si="50"/>
        <v>2023</v>
      </c>
      <c r="M784" s="2" t="str">
        <f t="shared" si="51"/>
        <v>T4-2023</v>
      </c>
    </row>
    <row r="785" spans="1:13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 t="str">
        <f t="shared" si="48"/>
        <v>60+</v>
      </c>
      <c r="K785" t="str">
        <f t="shared" si="49"/>
        <v>sábado-11</v>
      </c>
      <c r="L785">
        <f t="shared" si="50"/>
        <v>2023</v>
      </c>
      <c r="M785" s="2" t="str">
        <f t="shared" si="51"/>
        <v>T4-2023</v>
      </c>
    </row>
    <row r="786" spans="1:13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 t="str">
        <f t="shared" si="48"/>
        <v>60+</v>
      </c>
      <c r="K786" t="str">
        <f t="shared" si="49"/>
        <v>viernes-03</v>
      </c>
      <c r="L786">
        <f t="shared" si="50"/>
        <v>2023</v>
      </c>
      <c r="M786" s="2" t="str">
        <f t="shared" si="51"/>
        <v>T1-2023</v>
      </c>
    </row>
    <row r="787" spans="1:13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 t="str">
        <f t="shared" si="48"/>
        <v>60+</v>
      </c>
      <c r="K787" t="str">
        <f t="shared" si="49"/>
        <v>martes-10</v>
      </c>
      <c r="L787">
        <f t="shared" si="50"/>
        <v>2023</v>
      </c>
      <c r="M787" s="2" t="str">
        <f t="shared" si="51"/>
        <v>T4-2023</v>
      </c>
    </row>
    <row r="788" spans="1:13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 t="str">
        <f t="shared" si="48"/>
        <v>60+</v>
      </c>
      <c r="K788" t="str">
        <f t="shared" si="49"/>
        <v>domingo-01</v>
      </c>
      <c r="L788">
        <f t="shared" si="50"/>
        <v>2023</v>
      </c>
      <c r="M788" s="2" t="str">
        <f t="shared" si="51"/>
        <v>T1-2023</v>
      </c>
    </row>
    <row r="789" spans="1:13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 t="str">
        <f t="shared" si="48"/>
        <v>60+</v>
      </c>
      <c r="K789" t="str">
        <f t="shared" si="49"/>
        <v>martes-06</v>
      </c>
      <c r="L789">
        <f t="shared" si="50"/>
        <v>2023</v>
      </c>
      <c r="M789" s="2" t="str">
        <f t="shared" si="51"/>
        <v>T2-2023</v>
      </c>
    </row>
    <row r="790" spans="1:13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 t="str">
        <f t="shared" si="48"/>
        <v>60+</v>
      </c>
      <c r="K790" t="str">
        <f t="shared" si="49"/>
        <v>sábado-09</v>
      </c>
      <c r="L790">
        <f t="shared" si="50"/>
        <v>2023</v>
      </c>
      <c r="M790" s="2" t="str">
        <f t="shared" si="51"/>
        <v>T3-2023</v>
      </c>
    </row>
    <row r="791" spans="1:13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 t="str">
        <f t="shared" si="48"/>
        <v>60+</v>
      </c>
      <c r="K791" t="str">
        <f t="shared" si="49"/>
        <v>martes-08</v>
      </c>
      <c r="L791">
        <f t="shared" si="50"/>
        <v>2023</v>
      </c>
      <c r="M791" s="2" t="str">
        <f t="shared" si="51"/>
        <v>T3-2023</v>
      </c>
    </row>
    <row r="792" spans="1:13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 t="str">
        <f t="shared" si="48"/>
        <v>60+</v>
      </c>
      <c r="K792" t="str">
        <f t="shared" si="49"/>
        <v>martes-12</v>
      </c>
      <c r="L792">
        <f t="shared" si="50"/>
        <v>2023</v>
      </c>
      <c r="M792" s="2" t="str">
        <f t="shared" si="51"/>
        <v>T4-2023</v>
      </c>
    </row>
    <row r="793" spans="1:13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 t="str">
        <f t="shared" si="48"/>
        <v>60+</v>
      </c>
      <c r="K793" t="str">
        <f t="shared" si="49"/>
        <v>domingo-07</v>
      </c>
      <c r="L793">
        <f t="shared" si="50"/>
        <v>2023</v>
      </c>
      <c r="M793" s="2" t="str">
        <f t="shared" si="51"/>
        <v>T3-2023</v>
      </c>
    </row>
    <row r="794" spans="1:13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 t="str">
        <f t="shared" si="48"/>
        <v>60+</v>
      </c>
      <c r="K794" t="str">
        <f t="shared" si="49"/>
        <v>domingo-02</v>
      </c>
      <c r="L794">
        <f t="shared" si="50"/>
        <v>2023</v>
      </c>
      <c r="M794" s="2" t="str">
        <f t="shared" si="51"/>
        <v>T1-2023</v>
      </c>
    </row>
    <row r="795" spans="1:13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 t="str">
        <f t="shared" si="48"/>
        <v>60+</v>
      </c>
      <c r="K795" t="str">
        <f t="shared" si="49"/>
        <v>domingo-09</v>
      </c>
      <c r="L795">
        <f t="shared" si="50"/>
        <v>2023</v>
      </c>
      <c r="M795" s="2" t="str">
        <f t="shared" si="51"/>
        <v>T3-2023</v>
      </c>
    </row>
    <row r="796" spans="1:13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 t="str">
        <f t="shared" si="48"/>
        <v>60+</v>
      </c>
      <c r="K796" t="str">
        <f t="shared" si="49"/>
        <v>martes-11</v>
      </c>
      <c r="L796">
        <f t="shared" si="50"/>
        <v>2023</v>
      </c>
      <c r="M796" s="2" t="str">
        <f t="shared" si="51"/>
        <v>T4-2023</v>
      </c>
    </row>
    <row r="797" spans="1:13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 t="str">
        <f t="shared" si="48"/>
        <v>60+</v>
      </c>
      <c r="K797" t="str">
        <f t="shared" si="49"/>
        <v>sábado-06</v>
      </c>
      <c r="L797">
        <f t="shared" si="50"/>
        <v>2023</v>
      </c>
      <c r="M797" s="2" t="str">
        <f t="shared" si="51"/>
        <v>T2-2023</v>
      </c>
    </row>
    <row r="798" spans="1:13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 t="str">
        <f t="shared" si="48"/>
        <v>60+</v>
      </c>
      <c r="K798" t="str">
        <f t="shared" si="49"/>
        <v>sábado-01</v>
      </c>
      <c r="L798">
        <f t="shared" si="50"/>
        <v>2023</v>
      </c>
      <c r="M798" s="2" t="str">
        <f t="shared" si="51"/>
        <v>T1-2023</v>
      </c>
    </row>
    <row r="799" spans="1:13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 t="str">
        <f t="shared" si="48"/>
        <v>60+</v>
      </c>
      <c r="K799" t="str">
        <f t="shared" si="49"/>
        <v>viernes-08</v>
      </c>
      <c r="L799">
        <f t="shared" si="50"/>
        <v>2023</v>
      </c>
      <c r="M799" s="2" t="str">
        <f t="shared" si="51"/>
        <v>T3-2023</v>
      </c>
    </row>
    <row r="800" spans="1:13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 t="str">
        <f t="shared" si="48"/>
        <v>60+</v>
      </c>
      <c r="K800" t="str">
        <f t="shared" si="49"/>
        <v>viernes-09</v>
      </c>
      <c r="L800">
        <f t="shared" si="50"/>
        <v>2023</v>
      </c>
      <c r="M800" s="2" t="str">
        <f t="shared" si="51"/>
        <v>T3-2023</v>
      </c>
    </row>
    <row r="801" spans="1:13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 t="str">
        <f t="shared" si="48"/>
        <v>60+</v>
      </c>
      <c r="K801" t="str">
        <f t="shared" si="49"/>
        <v>viernes-02</v>
      </c>
      <c r="L801">
        <f t="shared" si="50"/>
        <v>2023</v>
      </c>
      <c r="M801" s="2" t="str">
        <f t="shared" si="51"/>
        <v>T1-2023</v>
      </c>
    </row>
    <row r="802" spans="1:13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 t="str">
        <f t="shared" si="48"/>
        <v>60+</v>
      </c>
      <c r="K802" t="str">
        <f t="shared" si="49"/>
        <v>jueves-08</v>
      </c>
      <c r="L802">
        <f t="shared" si="50"/>
        <v>2023</v>
      </c>
      <c r="M802" s="2" t="str">
        <f t="shared" si="51"/>
        <v>T3-2023</v>
      </c>
    </row>
    <row r="803" spans="1:13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 t="str">
        <f t="shared" si="48"/>
        <v>60+</v>
      </c>
      <c r="K803" t="str">
        <f t="shared" si="49"/>
        <v>miércoles-07</v>
      </c>
      <c r="L803">
        <f t="shared" si="50"/>
        <v>2023</v>
      </c>
      <c r="M803" s="2" t="str">
        <f t="shared" si="51"/>
        <v>T3-2023</v>
      </c>
    </row>
    <row r="804" spans="1:13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 t="str">
        <f t="shared" si="48"/>
        <v>60+</v>
      </c>
      <c r="K804" t="str">
        <f t="shared" si="49"/>
        <v>miércoles-11</v>
      </c>
      <c r="L804">
        <f t="shared" si="50"/>
        <v>2023</v>
      </c>
      <c r="M804" s="2" t="str">
        <f t="shared" si="51"/>
        <v>T4-2023</v>
      </c>
    </row>
    <row r="805" spans="1:13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 t="str">
        <f t="shared" si="48"/>
        <v>60+</v>
      </c>
      <c r="K805" t="str">
        <f t="shared" si="49"/>
        <v>jueves-08</v>
      </c>
      <c r="L805">
        <f t="shared" si="50"/>
        <v>2023</v>
      </c>
      <c r="M805" s="2" t="str">
        <f t="shared" si="51"/>
        <v>T3-2023</v>
      </c>
    </row>
    <row r="806" spans="1:13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 t="str">
        <f t="shared" si="48"/>
        <v>60+</v>
      </c>
      <c r="K806" t="str">
        <f t="shared" si="49"/>
        <v>viernes-12</v>
      </c>
      <c r="L806">
        <f t="shared" si="50"/>
        <v>2023</v>
      </c>
      <c r="M806" s="2" t="str">
        <f t="shared" si="51"/>
        <v>T4-2023</v>
      </c>
    </row>
    <row r="807" spans="1:13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 t="str">
        <f t="shared" si="48"/>
        <v>60+</v>
      </c>
      <c r="K807" t="str">
        <f t="shared" si="49"/>
        <v>lunes-03</v>
      </c>
      <c r="L807">
        <f t="shared" si="50"/>
        <v>2023</v>
      </c>
      <c r="M807" s="2" t="str">
        <f t="shared" si="51"/>
        <v>T1-2023</v>
      </c>
    </row>
    <row r="808" spans="1:13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 t="str">
        <f t="shared" si="48"/>
        <v>60+</v>
      </c>
      <c r="K808" t="str">
        <f t="shared" si="49"/>
        <v>viernes-08</v>
      </c>
      <c r="L808">
        <f t="shared" si="50"/>
        <v>2023</v>
      </c>
      <c r="M808" s="2" t="str">
        <f t="shared" si="51"/>
        <v>T3-2023</v>
      </c>
    </row>
    <row r="809" spans="1:13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 t="str">
        <f t="shared" si="48"/>
        <v>60+</v>
      </c>
      <c r="K809" t="str">
        <f t="shared" si="49"/>
        <v>sábado-04</v>
      </c>
      <c r="L809">
        <f t="shared" si="50"/>
        <v>2023</v>
      </c>
      <c r="M809" s="2" t="str">
        <f t="shared" si="51"/>
        <v>T2-2023</v>
      </c>
    </row>
    <row r="810" spans="1:13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 t="str">
        <f t="shared" si="48"/>
        <v>60+</v>
      </c>
      <c r="K810" t="str">
        <f t="shared" si="49"/>
        <v>lunes-09</v>
      </c>
      <c r="L810">
        <f t="shared" si="50"/>
        <v>2023</v>
      </c>
      <c r="M810" s="2" t="str">
        <f t="shared" si="51"/>
        <v>T3-2023</v>
      </c>
    </row>
    <row r="811" spans="1:13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 t="str">
        <f t="shared" si="48"/>
        <v>60+</v>
      </c>
      <c r="K811" t="str">
        <f t="shared" si="49"/>
        <v>jueves-11</v>
      </c>
      <c r="L811">
        <f t="shared" si="50"/>
        <v>2023</v>
      </c>
      <c r="M811" s="2" t="str">
        <f t="shared" si="51"/>
        <v>T4-2023</v>
      </c>
    </row>
    <row r="812" spans="1:13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 t="str">
        <f t="shared" si="48"/>
        <v>60+</v>
      </c>
      <c r="K812" t="str">
        <f t="shared" si="49"/>
        <v>viernes-05</v>
      </c>
      <c r="L812">
        <f t="shared" si="50"/>
        <v>2023</v>
      </c>
      <c r="M812" s="2" t="str">
        <f t="shared" si="51"/>
        <v>T2-2023</v>
      </c>
    </row>
    <row r="813" spans="1:13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 t="str">
        <f t="shared" si="48"/>
        <v>60+</v>
      </c>
      <c r="K813" t="str">
        <f t="shared" si="49"/>
        <v>domingo-11</v>
      </c>
      <c r="L813">
        <f t="shared" si="50"/>
        <v>2023</v>
      </c>
      <c r="M813" s="2" t="str">
        <f t="shared" si="51"/>
        <v>T4-2023</v>
      </c>
    </row>
    <row r="814" spans="1:13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 t="str">
        <f t="shared" si="48"/>
        <v>60+</v>
      </c>
      <c r="K814" t="str">
        <f t="shared" si="49"/>
        <v>martes-10</v>
      </c>
      <c r="L814">
        <f t="shared" si="50"/>
        <v>2023</v>
      </c>
      <c r="M814" s="2" t="str">
        <f t="shared" si="51"/>
        <v>T4-2023</v>
      </c>
    </row>
    <row r="815" spans="1:13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 t="str">
        <f t="shared" si="48"/>
        <v>60+</v>
      </c>
      <c r="K815" t="str">
        <f t="shared" si="49"/>
        <v>martes-09</v>
      </c>
      <c r="L815">
        <f t="shared" si="50"/>
        <v>2023</v>
      </c>
      <c r="M815" s="2" t="str">
        <f t="shared" si="51"/>
        <v>T3-2023</v>
      </c>
    </row>
    <row r="816" spans="1:13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 t="str">
        <f t="shared" si="48"/>
        <v>60+</v>
      </c>
      <c r="K816" t="str">
        <f t="shared" si="49"/>
        <v>domingo-08</v>
      </c>
      <c r="L816">
        <f t="shared" si="50"/>
        <v>2023</v>
      </c>
      <c r="M816" s="2" t="str">
        <f t="shared" si="51"/>
        <v>T3-2023</v>
      </c>
    </row>
    <row r="817" spans="1:13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 t="str">
        <f t="shared" si="48"/>
        <v>60+</v>
      </c>
      <c r="K817" t="str">
        <f t="shared" si="49"/>
        <v>sábado-08</v>
      </c>
      <c r="L817">
        <f t="shared" si="50"/>
        <v>2023</v>
      </c>
      <c r="M817" s="2" t="str">
        <f t="shared" si="51"/>
        <v>T3-2023</v>
      </c>
    </row>
    <row r="818" spans="1:13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 t="str">
        <f t="shared" si="48"/>
        <v>60+</v>
      </c>
      <c r="K818" t="str">
        <f t="shared" si="49"/>
        <v>martes-10</v>
      </c>
      <c r="L818">
        <f t="shared" si="50"/>
        <v>2023</v>
      </c>
      <c r="M818" s="2" t="str">
        <f t="shared" si="51"/>
        <v>T4-2023</v>
      </c>
    </row>
    <row r="819" spans="1:13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 t="str">
        <f t="shared" si="48"/>
        <v>60+</v>
      </c>
      <c r="K819" t="str">
        <f t="shared" si="49"/>
        <v>jueves-05</v>
      </c>
      <c r="L819">
        <f t="shared" si="50"/>
        <v>2023</v>
      </c>
      <c r="M819" s="2" t="str">
        <f t="shared" si="51"/>
        <v>T2-2023</v>
      </c>
    </row>
    <row r="820" spans="1:13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 t="str">
        <f t="shared" si="48"/>
        <v>60+</v>
      </c>
      <c r="K820" t="str">
        <f t="shared" si="49"/>
        <v>jueves-06</v>
      </c>
      <c r="L820">
        <f t="shared" si="50"/>
        <v>2023</v>
      </c>
      <c r="M820" s="2" t="str">
        <f t="shared" si="51"/>
        <v>T2-2023</v>
      </c>
    </row>
    <row r="821" spans="1:13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 t="str">
        <f t="shared" si="48"/>
        <v>60+</v>
      </c>
      <c r="K821" t="str">
        <f t="shared" si="49"/>
        <v>sábado-05</v>
      </c>
      <c r="L821">
        <f t="shared" si="50"/>
        <v>2023</v>
      </c>
      <c r="M821" s="2" t="str">
        <f t="shared" si="51"/>
        <v>T2-2023</v>
      </c>
    </row>
    <row r="822" spans="1:13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 t="str">
        <f t="shared" si="48"/>
        <v>60+</v>
      </c>
      <c r="K822" t="str">
        <f t="shared" si="49"/>
        <v>martes-02</v>
      </c>
      <c r="L822">
        <f t="shared" si="50"/>
        <v>2023</v>
      </c>
      <c r="M822" s="2" t="str">
        <f t="shared" si="51"/>
        <v>T1-2023</v>
      </c>
    </row>
    <row r="823" spans="1:13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 t="str">
        <f t="shared" si="48"/>
        <v>60+</v>
      </c>
      <c r="K823" t="str">
        <f t="shared" si="49"/>
        <v>martes-05</v>
      </c>
      <c r="L823">
        <f t="shared" si="50"/>
        <v>2023</v>
      </c>
      <c r="M823" s="2" t="str">
        <f t="shared" si="51"/>
        <v>T2-2023</v>
      </c>
    </row>
    <row r="824" spans="1:13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 t="str">
        <f t="shared" si="48"/>
        <v>60+</v>
      </c>
      <c r="K824" t="str">
        <f t="shared" si="49"/>
        <v>sábado-08</v>
      </c>
      <c r="L824">
        <f t="shared" si="50"/>
        <v>2023</v>
      </c>
      <c r="M824" s="2" t="str">
        <f t="shared" si="51"/>
        <v>T3-2023</v>
      </c>
    </row>
    <row r="825" spans="1:13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 t="str">
        <f t="shared" si="48"/>
        <v>60+</v>
      </c>
      <c r="K825" t="str">
        <f t="shared" si="49"/>
        <v>viernes-05</v>
      </c>
      <c r="L825">
        <f t="shared" si="50"/>
        <v>2023</v>
      </c>
      <c r="M825" s="2" t="str">
        <f t="shared" si="51"/>
        <v>T2-2023</v>
      </c>
    </row>
    <row r="826" spans="1:13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 t="str">
        <f t="shared" si="48"/>
        <v>60+</v>
      </c>
      <c r="K826" t="str">
        <f t="shared" si="49"/>
        <v>sábado-08</v>
      </c>
      <c r="L826">
        <f t="shared" si="50"/>
        <v>2023</v>
      </c>
      <c r="M826" s="2" t="str">
        <f t="shared" si="51"/>
        <v>T3-2023</v>
      </c>
    </row>
    <row r="827" spans="1:13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 t="str">
        <f t="shared" si="48"/>
        <v>60+</v>
      </c>
      <c r="K827" t="str">
        <f t="shared" si="49"/>
        <v>jueves-10</v>
      </c>
      <c r="L827">
        <f t="shared" si="50"/>
        <v>2023</v>
      </c>
      <c r="M827" s="2" t="str">
        <f t="shared" si="51"/>
        <v>T4-2023</v>
      </c>
    </row>
    <row r="828" spans="1:13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 t="str">
        <f t="shared" si="48"/>
        <v>60+</v>
      </c>
      <c r="K828" t="str">
        <f t="shared" si="49"/>
        <v>jueves-11</v>
      </c>
      <c r="L828">
        <f t="shared" si="50"/>
        <v>2023</v>
      </c>
      <c r="M828" s="2" t="str">
        <f t="shared" si="51"/>
        <v>T4-2023</v>
      </c>
    </row>
    <row r="829" spans="1:13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 t="str">
        <f t="shared" si="48"/>
        <v>60+</v>
      </c>
      <c r="K829" t="str">
        <f t="shared" si="49"/>
        <v>sábado-12</v>
      </c>
      <c r="L829">
        <f t="shared" si="50"/>
        <v>2023</v>
      </c>
      <c r="M829" s="2" t="str">
        <f t="shared" si="51"/>
        <v>T4-2023</v>
      </c>
    </row>
    <row r="830" spans="1:13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 t="str">
        <f t="shared" si="48"/>
        <v>60+</v>
      </c>
      <c r="K830" t="str">
        <f t="shared" si="49"/>
        <v>viernes-07</v>
      </c>
      <c r="L830">
        <f t="shared" si="50"/>
        <v>2023</v>
      </c>
      <c r="M830" s="2" t="str">
        <f t="shared" si="51"/>
        <v>T3-2023</v>
      </c>
    </row>
    <row r="831" spans="1:13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 t="str">
        <f t="shared" si="48"/>
        <v>60+</v>
      </c>
      <c r="K831" t="str">
        <f t="shared" si="49"/>
        <v>jueves-06</v>
      </c>
      <c r="L831">
        <f t="shared" si="50"/>
        <v>2023</v>
      </c>
      <c r="M831" s="2" t="str">
        <f t="shared" si="51"/>
        <v>T2-2023</v>
      </c>
    </row>
    <row r="832" spans="1:13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 t="str">
        <f t="shared" si="48"/>
        <v>60+</v>
      </c>
      <c r="K832" t="str">
        <f t="shared" si="49"/>
        <v>domingo-01</v>
      </c>
      <c r="L832">
        <f t="shared" si="50"/>
        <v>2023</v>
      </c>
      <c r="M832" s="2" t="str">
        <f t="shared" si="51"/>
        <v>T1-2023</v>
      </c>
    </row>
    <row r="833" spans="1:13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 t="str">
        <f t="shared" si="48"/>
        <v>60+</v>
      </c>
      <c r="K833" t="str">
        <f t="shared" si="49"/>
        <v>lunes-09</v>
      </c>
      <c r="L833">
        <f t="shared" si="50"/>
        <v>2023</v>
      </c>
      <c r="M833" s="2" t="str">
        <f t="shared" si="51"/>
        <v>T3-2023</v>
      </c>
    </row>
    <row r="834" spans="1:13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 t="str">
        <f t="shared" ref="J834:J897" si="52">IF(D834&lt;30,"18-29",IF(D834&lt;45,"30-44",IF(D834&lt;60,"45-59","60+")))</f>
        <v>60+</v>
      </c>
      <c r="K834" t="str">
        <f t="shared" ref="K834:K897" si="53">TEXT(B834,"AAAA-MM")</f>
        <v>viernes-06</v>
      </c>
      <c r="L834">
        <f t="shared" ref="L834:L897" si="54">YEAR(B834)</f>
        <v>2023</v>
      </c>
      <c r="M834" s="2" t="str">
        <f t="shared" ref="M834:M897" si="55">"T"&amp;INT((MONTH(B834)-1)/3+1)&amp;"-"&amp;YEAR(B834)</f>
        <v>T2-2023</v>
      </c>
    </row>
    <row r="835" spans="1:13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 t="str">
        <f t="shared" si="52"/>
        <v>60+</v>
      </c>
      <c r="K835" t="str">
        <f t="shared" si="53"/>
        <v>martes-04</v>
      </c>
      <c r="L835">
        <f t="shared" si="54"/>
        <v>2023</v>
      </c>
      <c r="M835" s="2" t="str">
        <f t="shared" si="55"/>
        <v>T2-2023</v>
      </c>
    </row>
    <row r="836" spans="1:13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 t="str">
        <f t="shared" si="52"/>
        <v>60+</v>
      </c>
      <c r="K836" t="str">
        <f t="shared" si="53"/>
        <v>jueves-09</v>
      </c>
      <c r="L836">
        <f t="shared" si="54"/>
        <v>2023</v>
      </c>
      <c r="M836" s="2" t="str">
        <f t="shared" si="55"/>
        <v>T3-2023</v>
      </c>
    </row>
    <row r="837" spans="1:13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 t="str">
        <f t="shared" si="52"/>
        <v>60+</v>
      </c>
      <c r="K837" t="str">
        <f t="shared" si="53"/>
        <v>miércoles-04</v>
      </c>
      <c r="L837">
        <f t="shared" si="54"/>
        <v>2023</v>
      </c>
      <c r="M837" s="2" t="str">
        <f t="shared" si="55"/>
        <v>T2-2023</v>
      </c>
    </row>
    <row r="838" spans="1:13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 t="str">
        <f t="shared" si="52"/>
        <v>60+</v>
      </c>
      <c r="K838" t="str">
        <f t="shared" si="53"/>
        <v>sábado-07</v>
      </c>
      <c r="L838">
        <f t="shared" si="54"/>
        <v>2023</v>
      </c>
      <c r="M838" s="2" t="str">
        <f t="shared" si="55"/>
        <v>T3-2023</v>
      </c>
    </row>
    <row r="839" spans="1:13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 t="str">
        <f t="shared" si="52"/>
        <v>60+</v>
      </c>
      <c r="K839" t="str">
        <f t="shared" si="53"/>
        <v>sábado-05</v>
      </c>
      <c r="L839">
        <f t="shared" si="54"/>
        <v>2023</v>
      </c>
      <c r="M839" s="2" t="str">
        <f t="shared" si="55"/>
        <v>T2-2023</v>
      </c>
    </row>
    <row r="840" spans="1:13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 t="str">
        <f t="shared" si="52"/>
        <v>60+</v>
      </c>
      <c r="K840" t="str">
        <f t="shared" si="53"/>
        <v>sábado-06</v>
      </c>
      <c r="L840">
        <f t="shared" si="54"/>
        <v>2023</v>
      </c>
      <c r="M840" s="2" t="str">
        <f t="shared" si="55"/>
        <v>T2-2023</v>
      </c>
    </row>
    <row r="841" spans="1:13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 t="str">
        <f t="shared" si="52"/>
        <v>60+</v>
      </c>
      <c r="K841" t="str">
        <f t="shared" si="53"/>
        <v>miércoles-05</v>
      </c>
      <c r="L841">
        <f t="shared" si="54"/>
        <v>2023</v>
      </c>
      <c r="M841" s="2" t="str">
        <f t="shared" si="55"/>
        <v>T2-2023</v>
      </c>
    </row>
    <row r="842" spans="1:13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 t="str">
        <f t="shared" si="52"/>
        <v>60+</v>
      </c>
      <c r="K842" t="str">
        <f t="shared" si="53"/>
        <v>jueves-11</v>
      </c>
      <c r="L842">
        <f t="shared" si="54"/>
        <v>2023</v>
      </c>
      <c r="M842" s="2" t="str">
        <f t="shared" si="55"/>
        <v>T4-2023</v>
      </c>
    </row>
    <row r="843" spans="1:13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 t="str">
        <f t="shared" si="52"/>
        <v>60+</v>
      </c>
      <c r="K843" t="str">
        <f t="shared" si="53"/>
        <v>martes-12</v>
      </c>
      <c r="L843">
        <f t="shared" si="54"/>
        <v>2023</v>
      </c>
      <c r="M843" s="2" t="str">
        <f t="shared" si="55"/>
        <v>T4-2023</v>
      </c>
    </row>
    <row r="844" spans="1:13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 t="str">
        <f t="shared" si="52"/>
        <v>60+</v>
      </c>
      <c r="K844" t="str">
        <f t="shared" si="53"/>
        <v>lunes-05</v>
      </c>
      <c r="L844">
        <f t="shared" si="54"/>
        <v>2023</v>
      </c>
      <c r="M844" s="2" t="str">
        <f t="shared" si="55"/>
        <v>T2-2023</v>
      </c>
    </row>
    <row r="845" spans="1:13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 t="str">
        <f t="shared" si="52"/>
        <v>60+</v>
      </c>
      <c r="K845" t="str">
        <f t="shared" si="53"/>
        <v>jueves-10</v>
      </c>
      <c r="L845">
        <f t="shared" si="54"/>
        <v>2023</v>
      </c>
      <c r="M845" s="2" t="str">
        <f t="shared" si="55"/>
        <v>T4-2023</v>
      </c>
    </row>
    <row r="846" spans="1:13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 t="str">
        <f t="shared" si="52"/>
        <v>60+</v>
      </c>
      <c r="K846" t="str">
        <f t="shared" si="53"/>
        <v>viernes-01</v>
      </c>
      <c r="L846">
        <f t="shared" si="54"/>
        <v>2023</v>
      </c>
      <c r="M846" s="2" t="str">
        <f t="shared" si="55"/>
        <v>T1-2023</v>
      </c>
    </row>
    <row r="847" spans="1:13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 t="str">
        <f t="shared" si="52"/>
        <v>60+</v>
      </c>
      <c r="K847" t="str">
        <f t="shared" si="53"/>
        <v>viernes-09</v>
      </c>
      <c r="L847">
        <f t="shared" si="54"/>
        <v>2023</v>
      </c>
      <c r="M847" s="2" t="str">
        <f t="shared" si="55"/>
        <v>T3-2023</v>
      </c>
    </row>
    <row r="848" spans="1:13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 t="str">
        <f t="shared" si="52"/>
        <v>60+</v>
      </c>
      <c r="K848" t="str">
        <f t="shared" si="53"/>
        <v>sábado-04</v>
      </c>
      <c r="L848">
        <f t="shared" si="54"/>
        <v>2023</v>
      </c>
      <c r="M848" s="2" t="str">
        <f t="shared" si="55"/>
        <v>T2-2023</v>
      </c>
    </row>
    <row r="849" spans="1:13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 t="str">
        <f t="shared" si="52"/>
        <v>60+</v>
      </c>
      <c r="K849" t="str">
        <f t="shared" si="53"/>
        <v>lunes-02</v>
      </c>
      <c r="L849">
        <f t="shared" si="54"/>
        <v>2023</v>
      </c>
      <c r="M849" s="2" t="str">
        <f t="shared" si="55"/>
        <v>T1-2023</v>
      </c>
    </row>
    <row r="850" spans="1:13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 t="str">
        <f t="shared" si="52"/>
        <v>60+</v>
      </c>
      <c r="K850" t="str">
        <f t="shared" si="53"/>
        <v>jueves-05</v>
      </c>
      <c r="L850">
        <f t="shared" si="54"/>
        <v>2023</v>
      </c>
      <c r="M850" s="2" t="str">
        <f t="shared" si="55"/>
        <v>T2-2023</v>
      </c>
    </row>
    <row r="851" spans="1:13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 t="str">
        <f t="shared" si="52"/>
        <v>60+</v>
      </c>
      <c r="K851" t="str">
        <f t="shared" si="53"/>
        <v>viernes-07</v>
      </c>
      <c r="L851">
        <f t="shared" si="54"/>
        <v>2023</v>
      </c>
      <c r="M851" s="2" t="str">
        <f t="shared" si="55"/>
        <v>T3-2023</v>
      </c>
    </row>
    <row r="852" spans="1:13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 t="str">
        <f t="shared" si="52"/>
        <v>60+</v>
      </c>
      <c r="K852" t="str">
        <f t="shared" si="53"/>
        <v>viernes-09</v>
      </c>
      <c r="L852">
        <f t="shared" si="54"/>
        <v>2023</v>
      </c>
      <c r="M852" s="2" t="str">
        <f t="shared" si="55"/>
        <v>T3-2023</v>
      </c>
    </row>
    <row r="853" spans="1:13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 t="str">
        <f t="shared" si="52"/>
        <v>60+</v>
      </c>
      <c r="K853" t="str">
        <f t="shared" si="53"/>
        <v>jueves-10</v>
      </c>
      <c r="L853">
        <f t="shared" si="54"/>
        <v>2023</v>
      </c>
      <c r="M853" s="2" t="str">
        <f t="shared" si="55"/>
        <v>T4-2023</v>
      </c>
    </row>
    <row r="854" spans="1:13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 t="str">
        <f t="shared" si="52"/>
        <v>60+</v>
      </c>
      <c r="K854" t="str">
        <f t="shared" si="53"/>
        <v>jueves-05</v>
      </c>
      <c r="L854">
        <f t="shared" si="54"/>
        <v>2023</v>
      </c>
      <c r="M854" s="2" t="str">
        <f t="shared" si="55"/>
        <v>T2-2023</v>
      </c>
    </row>
    <row r="855" spans="1:13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 t="str">
        <f t="shared" si="52"/>
        <v>60+</v>
      </c>
      <c r="K855" t="str">
        <f t="shared" si="53"/>
        <v>miércoles-12</v>
      </c>
      <c r="L855">
        <f t="shared" si="54"/>
        <v>2023</v>
      </c>
      <c r="M855" s="2" t="str">
        <f t="shared" si="55"/>
        <v>T4-2023</v>
      </c>
    </row>
    <row r="856" spans="1:13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 t="str">
        <f t="shared" si="52"/>
        <v>60+</v>
      </c>
      <c r="K856" t="str">
        <f t="shared" si="53"/>
        <v>viernes-09</v>
      </c>
      <c r="L856">
        <f t="shared" si="54"/>
        <v>2023</v>
      </c>
      <c r="M856" s="2" t="str">
        <f t="shared" si="55"/>
        <v>T3-2023</v>
      </c>
    </row>
    <row r="857" spans="1:13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 t="str">
        <f t="shared" si="52"/>
        <v>60+</v>
      </c>
      <c r="K857" t="str">
        <f t="shared" si="53"/>
        <v>lunes-11</v>
      </c>
      <c r="L857">
        <f t="shared" si="54"/>
        <v>2023</v>
      </c>
      <c r="M857" s="2" t="str">
        <f t="shared" si="55"/>
        <v>T4-2023</v>
      </c>
    </row>
    <row r="858" spans="1:13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 t="str">
        <f t="shared" si="52"/>
        <v>60+</v>
      </c>
      <c r="K858" t="str">
        <f t="shared" si="53"/>
        <v>domingo-12</v>
      </c>
      <c r="L858">
        <f t="shared" si="54"/>
        <v>2023</v>
      </c>
      <c r="M858" s="2" t="str">
        <f t="shared" si="55"/>
        <v>T4-2023</v>
      </c>
    </row>
    <row r="859" spans="1:13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 t="str">
        <f t="shared" si="52"/>
        <v>60+</v>
      </c>
      <c r="K859" t="str">
        <f t="shared" si="53"/>
        <v>sábado-09</v>
      </c>
      <c r="L859">
        <f t="shared" si="54"/>
        <v>2023</v>
      </c>
      <c r="M859" s="2" t="str">
        <f t="shared" si="55"/>
        <v>T3-2023</v>
      </c>
    </row>
    <row r="860" spans="1:13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 t="str">
        <f t="shared" si="52"/>
        <v>60+</v>
      </c>
      <c r="K860" t="str">
        <f t="shared" si="53"/>
        <v>viernes-08</v>
      </c>
      <c r="L860">
        <f t="shared" si="54"/>
        <v>2023</v>
      </c>
      <c r="M860" s="2" t="str">
        <f t="shared" si="55"/>
        <v>T3-2023</v>
      </c>
    </row>
    <row r="861" spans="1:13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 t="str">
        <f t="shared" si="52"/>
        <v>60+</v>
      </c>
      <c r="K861" t="str">
        <f t="shared" si="53"/>
        <v>lunes-01</v>
      </c>
      <c r="L861">
        <f t="shared" si="54"/>
        <v>2023</v>
      </c>
      <c r="M861" s="2" t="str">
        <f t="shared" si="55"/>
        <v>T1-2023</v>
      </c>
    </row>
    <row r="862" spans="1:13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 t="str">
        <f t="shared" si="52"/>
        <v>60+</v>
      </c>
      <c r="K862" t="str">
        <f t="shared" si="53"/>
        <v>viernes-02</v>
      </c>
      <c r="L862">
        <f t="shared" si="54"/>
        <v>2023</v>
      </c>
      <c r="M862" s="2" t="str">
        <f t="shared" si="55"/>
        <v>T1-2023</v>
      </c>
    </row>
    <row r="863" spans="1:13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 t="str">
        <f t="shared" si="52"/>
        <v>60+</v>
      </c>
      <c r="K863" t="str">
        <f t="shared" si="53"/>
        <v>miércoles-05</v>
      </c>
      <c r="L863">
        <f t="shared" si="54"/>
        <v>2023</v>
      </c>
      <c r="M863" s="2" t="str">
        <f t="shared" si="55"/>
        <v>T2-2023</v>
      </c>
    </row>
    <row r="864" spans="1:13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 t="str">
        <f t="shared" si="52"/>
        <v>60+</v>
      </c>
      <c r="K864" t="str">
        <f t="shared" si="53"/>
        <v>lunes-04</v>
      </c>
      <c r="L864">
        <f t="shared" si="54"/>
        <v>2023</v>
      </c>
      <c r="M864" s="2" t="str">
        <f t="shared" si="55"/>
        <v>T2-2023</v>
      </c>
    </row>
    <row r="865" spans="1:13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 t="str">
        <f t="shared" si="52"/>
        <v>60+</v>
      </c>
      <c r="K865" t="str">
        <f t="shared" si="53"/>
        <v>jueves-07</v>
      </c>
      <c r="L865">
        <f t="shared" si="54"/>
        <v>2023</v>
      </c>
      <c r="M865" s="2" t="str">
        <f t="shared" si="55"/>
        <v>T3-2023</v>
      </c>
    </row>
    <row r="866" spans="1:13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 t="str">
        <f t="shared" si="52"/>
        <v>60+</v>
      </c>
      <c r="K866" t="str">
        <f t="shared" si="53"/>
        <v>jueves-12</v>
      </c>
      <c r="L866">
        <f t="shared" si="54"/>
        <v>2023</v>
      </c>
      <c r="M866" s="2" t="str">
        <f t="shared" si="55"/>
        <v>T4-2023</v>
      </c>
    </row>
    <row r="867" spans="1:13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 t="str">
        <f t="shared" si="52"/>
        <v>60+</v>
      </c>
      <c r="K867" t="str">
        <f t="shared" si="53"/>
        <v>viernes-05</v>
      </c>
      <c r="L867">
        <f t="shared" si="54"/>
        <v>2023</v>
      </c>
      <c r="M867" s="2" t="str">
        <f t="shared" si="55"/>
        <v>T2-2023</v>
      </c>
    </row>
    <row r="868" spans="1:13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 t="str">
        <f t="shared" si="52"/>
        <v>60+</v>
      </c>
      <c r="K868" t="str">
        <f t="shared" si="53"/>
        <v>martes-06</v>
      </c>
      <c r="L868">
        <f t="shared" si="54"/>
        <v>2023</v>
      </c>
      <c r="M868" s="2" t="str">
        <f t="shared" si="55"/>
        <v>T2-2023</v>
      </c>
    </row>
    <row r="869" spans="1:13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 t="str">
        <f t="shared" si="52"/>
        <v>60+</v>
      </c>
      <c r="K869" t="str">
        <f t="shared" si="53"/>
        <v>miércoles-12</v>
      </c>
      <c r="L869">
        <f t="shared" si="54"/>
        <v>2023</v>
      </c>
      <c r="M869" s="2" t="str">
        <f t="shared" si="55"/>
        <v>T4-2023</v>
      </c>
    </row>
    <row r="870" spans="1:13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 t="str">
        <f t="shared" si="52"/>
        <v>60+</v>
      </c>
      <c r="K870" t="str">
        <f t="shared" si="53"/>
        <v>miércoles-10</v>
      </c>
      <c r="L870">
        <f t="shared" si="54"/>
        <v>2023</v>
      </c>
      <c r="M870" s="2" t="str">
        <f t="shared" si="55"/>
        <v>T4-2023</v>
      </c>
    </row>
    <row r="871" spans="1:13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 t="str">
        <f t="shared" si="52"/>
        <v>60+</v>
      </c>
      <c r="K871" t="str">
        <f t="shared" si="53"/>
        <v>sábado-07</v>
      </c>
      <c r="L871">
        <f t="shared" si="54"/>
        <v>2023</v>
      </c>
      <c r="M871" s="2" t="str">
        <f t="shared" si="55"/>
        <v>T3-2023</v>
      </c>
    </row>
    <row r="872" spans="1:13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 t="str">
        <f t="shared" si="52"/>
        <v>60+</v>
      </c>
      <c r="K872" t="str">
        <f t="shared" si="53"/>
        <v>jueves-08</v>
      </c>
      <c r="L872">
        <f t="shared" si="54"/>
        <v>2023</v>
      </c>
      <c r="M872" s="2" t="str">
        <f t="shared" si="55"/>
        <v>T3-2023</v>
      </c>
    </row>
    <row r="873" spans="1:13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 t="str">
        <f t="shared" si="52"/>
        <v>60+</v>
      </c>
      <c r="K873" t="str">
        <f t="shared" si="53"/>
        <v>miércoles-10</v>
      </c>
      <c r="L873">
        <f t="shared" si="54"/>
        <v>2023</v>
      </c>
      <c r="M873" s="2" t="str">
        <f t="shared" si="55"/>
        <v>T4-2023</v>
      </c>
    </row>
    <row r="874" spans="1:13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 t="str">
        <f t="shared" si="52"/>
        <v>60+</v>
      </c>
      <c r="K874" t="str">
        <f t="shared" si="53"/>
        <v>viernes-09</v>
      </c>
      <c r="L874">
        <f t="shared" si="54"/>
        <v>2023</v>
      </c>
      <c r="M874" s="2" t="str">
        <f t="shared" si="55"/>
        <v>T3-2023</v>
      </c>
    </row>
    <row r="875" spans="1:13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 t="str">
        <f t="shared" si="52"/>
        <v>60+</v>
      </c>
      <c r="K875" t="str">
        <f t="shared" si="53"/>
        <v>lunes-06</v>
      </c>
      <c r="L875">
        <f t="shared" si="54"/>
        <v>2023</v>
      </c>
      <c r="M875" s="2" t="str">
        <f t="shared" si="55"/>
        <v>T2-2023</v>
      </c>
    </row>
    <row r="876" spans="1:13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 t="str">
        <f t="shared" si="52"/>
        <v>60+</v>
      </c>
      <c r="K876" t="str">
        <f t="shared" si="53"/>
        <v>domingo-08</v>
      </c>
      <c r="L876">
        <f t="shared" si="54"/>
        <v>2023</v>
      </c>
      <c r="M876" s="2" t="str">
        <f t="shared" si="55"/>
        <v>T3-2023</v>
      </c>
    </row>
    <row r="877" spans="1:13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 t="str">
        <f t="shared" si="52"/>
        <v>60+</v>
      </c>
      <c r="K877" t="str">
        <f t="shared" si="53"/>
        <v>lunes-10</v>
      </c>
      <c r="L877">
        <f t="shared" si="54"/>
        <v>2023</v>
      </c>
      <c r="M877" s="2" t="str">
        <f t="shared" si="55"/>
        <v>T4-2023</v>
      </c>
    </row>
    <row r="878" spans="1:13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 t="str">
        <f t="shared" si="52"/>
        <v>60+</v>
      </c>
      <c r="K878" t="str">
        <f t="shared" si="53"/>
        <v>lunes-06</v>
      </c>
      <c r="L878">
        <f t="shared" si="54"/>
        <v>2023</v>
      </c>
      <c r="M878" s="2" t="str">
        <f t="shared" si="55"/>
        <v>T2-2023</v>
      </c>
    </row>
    <row r="879" spans="1:13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 t="str">
        <f t="shared" si="52"/>
        <v>60+</v>
      </c>
      <c r="K879" t="str">
        <f t="shared" si="53"/>
        <v>viernes-06</v>
      </c>
      <c r="L879">
        <f t="shared" si="54"/>
        <v>2023</v>
      </c>
      <c r="M879" s="2" t="str">
        <f t="shared" si="55"/>
        <v>T2-2023</v>
      </c>
    </row>
    <row r="880" spans="1:13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 t="str">
        <f t="shared" si="52"/>
        <v>60+</v>
      </c>
      <c r="K880" t="str">
        <f t="shared" si="53"/>
        <v>martes-12</v>
      </c>
      <c r="L880">
        <f t="shared" si="54"/>
        <v>2023</v>
      </c>
      <c r="M880" s="2" t="str">
        <f t="shared" si="55"/>
        <v>T4-2023</v>
      </c>
    </row>
    <row r="881" spans="1:13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 t="str">
        <f t="shared" si="52"/>
        <v>60+</v>
      </c>
      <c r="K881" t="str">
        <f t="shared" si="53"/>
        <v>lunes-08</v>
      </c>
      <c r="L881">
        <f t="shared" si="54"/>
        <v>2023</v>
      </c>
      <c r="M881" s="2" t="str">
        <f t="shared" si="55"/>
        <v>T3-2023</v>
      </c>
    </row>
    <row r="882" spans="1:13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 t="str">
        <f t="shared" si="52"/>
        <v>60+</v>
      </c>
      <c r="K882" t="str">
        <f t="shared" si="53"/>
        <v>viernes-05</v>
      </c>
      <c r="L882">
        <f t="shared" si="54"/>
        <v>2023</v>
      </c>
      <c r="M882" s="2" t="str">
        <f t="shared" si="55"/>
        <v>T2-2023</v>
      </c>
    </row>
    <row r="883" spans="1:13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 t="str">
        <f t="shared" si="52"/>
        <v>60+</v>
      </c>
      <c r="K883" t="str">
        <f t="shared" si="53"/>
        <v>martes-06</v>
      </c>
      <c r="L883">
        <f t="shared" si="54"/>
        <v>2023</v>
      </c>
      <c r="M883" s="2" t="str">
        <f t="shared" si="55"/>
        <v>T2-2023</v>
      </c>
    </row>
    <row r="884" spans="1:13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 t="str">
        <f t="shared" si="52"/>
        <v>60+</v>
      </c>
      <c r="K884" t="str">
        <f t="shared" si="53"/>
        <v>martes-05</v>
      </c>
      <c r="L884">
        <f t="shared" si="54"/>
        <v>2023</v>
      </c>
      <c r="M884" s="2" t="str">
        <f t="shared" si="55"/>
        <v>T2-2023</v>
      </c>
    </row>
    <row r="885" spans="1:13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 t="str">
        <f t="shared" si="52"/>
        <v>60+</v>
      </c>
      <c r="K885" t="str">
        <f t="shared" si="53"/>
        <v>sábado-04</v>
      </c>
      <c r="L885">
        <f t="shared" si="54"/>
        <v>2023</v>
      </c>
      <c r="M885" s="2" t="str">
        <f t="shared" si="55"/>
        <v>T2-2023</v>
      </c>
    </row>
    <row r="886" spans="1:13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 t="str">
        <f t="shared" si="52"/>
        <v>60+</v>
      </c>
      <c r="K886" t="str">
        <f t="shared" si="53"/>
        <v>viernes-03</v>
      </c>
      <c r="L886">
        <f t="shared" si="54"/>
        <v>2023</v>
      </c>
      <c r="M886" s="2" t="str">
        <f t="shared" si="55"/>
        <v>T1-2023</v>
      </c>
    </row>
    <row r="887" spans="1:13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 t="str">
        <f t="shared" si="52"/>
        <v>60+</v>
      </c>
      <c r="K887" t="str">
        <f t="shared" si="53"/>
        <v>domingo-04</v>
      </c>
      <c r="L887">
        <f t="shared" si="54"/>
        <v>2023</v>
      </c>
      <c r="M887" s="2" t="str">
        <f t="shared" si="55"/>
        <v>T2-2023</v>
      </c>
    </row>
    <row r="888" spans="1:13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 t="str">
        <f t="shared" si="52"/>
        <v>60+</v>
      </c>
      <c r="K888" t="str">
        <f t="shared" si="53"/>
        <v>domingo-06</v>
      </c>
      <c r="L888">
        <f t="shared" si="54"/>
        <v>2023</v>
      </c>
      <c r="M888" s="2" t="str">
        <f t="shared" si="55"/>
        <v>T2-2023</v>
      </c>
    </row>
    <row r="889" spans="1:13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 t="str">
        <f t="shared" si="52"/>
        <v>60+</v>
      </c>
      <c r="K889" t="str">
        <f t="shared" si="53"/>
        <v>viernes-03</v>
      </c>
      <c r="L889">
        <f t="shared" si="54"/>
        <v>2023</v>
      </c>
      <c r="M889" s="2" t="str">
        <f t="shared" si="55"/>
        <v>T1-2023</v>
      </c>
    </row>
    <row r="890" spans="1:13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 t="str">
        <f t="shared" si="52"/>
        <v>60+</v>
      </c>
      <c r="K890" t="str">
        <f t="shared" si="53"/>
        <v>lunes-10</v>
      </c>
      <c r="L890">
        <f t="shared" si="54"/>
        <v>2023</v>
      </c>
      <c r="M890" s="2" t="str">
        <f t="shared" si="55"/>
        <v>T4-2023</v>
      </c>
    </row>
    <row r="891" spans="1:13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 t="str">
        <f t="shared" si="52"/>
        <v>60+</v>
      </c>
      <c r="K891" t="str">
        <f t="shared" si="53"/>
        <v>miércoles-12</v>
      </c>
      <c r="L891">
        <f t="shared" si="54"/>
        <v>2023</v>
      </c>
      <c r="M891" s="2" t="str">
        <f t="shared" si="55"/>
        <v>T4-2023</v>
      </c>
    </row>
    <row r="892" spans="1:13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 t="str">
        <f t="shared" si="52"/>
        <v>60+</v>
      </c>
      <c r="K892" t="str">
        <f t="shared" si="53"/>
        <v>miércoles-04</v>
      </c>
      <c r="L892">
        <f t="shared" si="54"/>
        <v>2023</v>
      </c>
      <c r="M892" s="2" t="str">
        <f t="shared" si="55"/>
        <v>T2-2023</v>
      </c>
    </row>
    <row r="893" spans="1:13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 t="str">
        <f t="shared" si="52"/>
        <v>60+</v>
      </c>
      <c r="K893" t="str">
        <f t="shared" si="53"/>
        <v>domingo-04</v>
      </c>
      <c r="L893">
        <f t="shared" si="54"/>
        <v>2023</v>
      </c>
      <c r="M893" s="2" t="str">
        <f t="shared" si="55"/>
        <v>T2-2023</v>
      </c>
    </row>
    <row r="894" spans="1:13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 t="str">
        <f t="shared" si="52"/>
        <v>60+</v>
      </c>
      <c r="K894" t="str">
        <f t="shared" si="53"/>
        <v>viernes-04</v>
      </c>
      <c r="L894">
        <f t="shared" si="54"/>
        <v>2023</v>
      </c>
      <c r="M894" s="2" t="str">
        <f t="shared" si="55"/>
        <v>T2-2023</v>
      </c>
    </row>
    <row r="895" spans="1:13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 t="str">
        <f t="shared" si="52"/>
        <v>60+</v>
      </c>
      <c r="K895" t="str">
        <f t="shared" si="53"/>
        <v>martes-09</v>
      </c>
      <c r="L895">
        <f t="shared" si="54"/>
        <v>2023</v>
      </c>
      <c r="M895" s="2" t="str">
        <f t="shared" si="55"/>
        <v>T3-2023</v>
      </c>
    </row>
    <row r="896" spans="1:13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 t="str">
        <f t="shared" si="52"/>
        <v>60+</v>
      </c>
      <c r="K896" t="str">
        <f t="shared" si="53"/>
        <v>lunes-05</v>
      </c>
      <c r="L896">
        <f t="shared" si="54"/>
        <v>2023</v>
      </c>
      <c r="M896" s="2" t="str">
        <f t="shared" si="55"/>
        <v>T2-2023</v>
      </c>
    </row>
    <row r="897" spans="1:13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 t="str">
        <f t="shared" si="52"/>
        <v>60+</v>
      </c>
      <c r="K897" t="str">
        <f t="shared" si="53"/>
        <v>domingo-10</v>
      </c>
      <c r="L897">
        <f t="shared" si="54"/>
        <v>2023</v>
      </c>
      <c r="M897" s="2" t="str">
        <f t="shared" si="55"/>
        <v>T4-2023</v>
      </c>
    </row>
    <row r="898" spans="1:13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 t="str">
        <f t="shared" ref="J898:J961" si="56">IF(D898&lt;30,"18-29",IF(D898&lt;45,"30-44",IF(D898&lt;60,"45-59","60+")))</f>
        <v>60+</v>
      </c>
      <c r="K898" t="str">
        <f t="shared" ref="K898:K961" si="57">TEXT(B898,"AAAA-MM")</f>
        <v>martes-09</v>
      </c>
      <c r="L898">
        <f t="shared" ref="L898:L961" si="58">YEAR(B898)</f>
        <v>2023</v>
      </c>
      <c r="M898" s="2" t="str">
        <f t="shared" ref="M898:M961" si="59">"T"&amp;INT((MONTH(B898)-1)/3+1)&amp;"-"&amp;YEAR(B898)</f>
        <v>T3-2023</v>
      </c>
    </row>
    <row r="899" spans="1:13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 t="str">
        <f t="shared" si="56"/>
        <v>60+</v>
      </c>
      <c r="K899" t="str">
        <f t="shared" si="57"/>
        <v>jueves-11</v>
      </c>
      <c r="L899">
        <f t="shared" si="58"/>
        <v>2023</v>
      </c>
      <c r="M899" s="2" t="str">
        <f t="shared" si="59"/>
        <v>T4-2023</v>
      </c>
    </row>
    <row r="900" spans="1:13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 t="str">
        <f t="shared" si="56"/>
        <v>60+</v>
      </c>
      <c r="K900" t="str">
        <f t="shared" si="57"/>
        <v>jueves-05</v>
      </c>
      <c r="L900">
        <f t="shared" si="58"/>
        <v>2023</v>
      </c>
      <c r="M900" s="2" t="str">
        <f t="shared" si="59"/>
        <v>T2-2023</v>
      </c>
    </row>
    <row r="901" spans="1:13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 t="str">
        <f t="shared" si="56"/>
        <v>60+</v>
      </c>
      <c r="K901" t="str">
        <f t="shared" si="57"/>
        <v>martes-02</v>
      </c>
      <c r="L901">
        <f t="shared" si="58"/>
        <v>2023</v>
      </c>
      <c r="M901" s="2" t="str">
        <f t="shared" si="59"/>
        <v>T1-2023</v>
      </c>
    </row>
    <row r="902" spans="1:13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 t="str">
        <f t="shared" si="56"/>
        <v>60+</v>
      </c>
      <c r="K902" t="str">
        <f t="shared" si="57"/>
        <v>lunes-04</v>
      </c>
      <c r="L902">
        <f t="shared" si="58"/>
        <v>2023</v>
      </c>
      <c r="M902" s="2" t="str">
        <f t="shared" si="59"/>
        <v>T2-2023</v>
      </c>
    </row>
    <row r="903" spans="1:13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 t="str">
        <f t="shared" si="56"/>
        <v>60+</v>
      </c>
      <c r="K903" t="str">
        <f t="shared" si="57"/>
        <v>jueves-06</v>
      </c>
      <c r="L903">
        <f t="shared" si="58"/>
        <v>2023</v>
      </c>
      <c r="M903" s="2" t="str">
        <f t="shared" si="59"/>
        <v>T2-2023</v>
      </c>
    </row>
    <row r="904" spans="1:13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 t="str">
        <f t="shared" si="56"/>
        <v>60+</v>
      </c>
      <c r="K904" t="str">
        <f t="shared" si="57"/>
        <v>jueves-04</v>
      </c>
      <c r="L904">
        <f t="shared" si="58"/>
        <v>2023</v>
      </c>
      <c r="M904" s="2" t="str">
        <f t="shared" si="59"/>
        <v>T2-2023</v>
      </c>
    </row>
    <row r="905" spans="1:13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 t="str">
        <f t="shared" si="56"/>
        <v>60+</v>
      </c>
      <c r="K905" t="str">
        <f t="shared" si="57"/>
        <v>martes-07</v>
      </c>
      <c r="L905">
        <f t="shared" si="58"/>
        <v>2023</v>
      </c>
      <c r="M905" s="2" t="str">
        <f t="shared" si="59"/>
        <v>T3-2023</v>
      </c>
    </row>
    <row r="906" spans="1:13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 t="str">
        <f t="shared" si="56"/>
        <v>60+</v>
      </c>
      <c r="K906" t="str">
        <f t="shared" si="57"/>
        <v>domingo-04</v>
      </c>
      <c r="L906">
        <f t="shared" si="58"/>
        <v>2023</v>
      </c>
      <c r="M906" s="2" t="str">
        <f t="shared" si="59"/>
        <v>T2-2023</v>
      </c>
    </row>
    <row r="907" spans="1:13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 t="str">
        <f t="shared" si="56"/>
        <v>60+</v>
      </c>
      <c r="K907" t="str">
        <f t="shared" si="57"/>
        <v>domingo-06</v>
      </c>
      <c r="L907">
        <f t="shared" si="58"/>
        <v>2023</v>
      </c>
      <c r="M907" s="2" t="str">
        <f t="shared" si="59"/>
        <v>T2-2023</v>
      </c>
    </row>
    <row r="908" spans="1:13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 t="str">
        <f t="shared" si="56"/>
        <v>60+</v>
      </c>
      <c r="K908" t="str">
        <f t="shared" si="57"/>
        <v>domingo-01</v>
      </c>
      <c r="L908">
        <f t="shared" si="58"/>
        <v>2023</v>
      </c>
      <c r="M908" s="2" t="str">
        <f t="shared" si="59"/>
        <v>T1-2023</v>
      </c>
    </row>
    <row r="909" spans="1:13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 t="str">
        <f t="shared" si="56"/>
        <v>60+</v>
      </c>
      <c r="K909" t="str">
        <f t="shared" si="57"/>
        <v>viernes-12</v>
      </c>
      <c r="L909">
        <f t="shared" si="58"/>
        <v>2023</v>
      </c>
      <c r="M909" s="2" t="str">
        <f t="shared" si="59"/>
        <v>T4-2023</v>
      </c>
    </row>
    <row r="910" spans="1:13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 t="str">
        <f t="shared" si="56"/>
        <v>60+</v>
      </c>
      <c r="K910" t="str">
        <f t="shared" si="57"/>
        <v>domingo-10</v>
      </c>
      <c r="L910">
        <f t="shared" si="58"/>
        <v>2023</v>
      </c>
      <c r="M910" s="2" t="str">
        <f t="shared" si="59"/>
        <v>T4-2023</v>
      </c>
    </row>
    <row r="911" spans="1:13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 t="str">
        <f t="shared" si="56"/>
        <v>60+</v>
      </c>
      <c r="K911" t="str">
        <f t="shared" si="57"/>
        <v>lunes-03</v>
      </c>
      <c r="L911">
        <f t="shared" si="58"/>
        <v>2023</v>
      </c>
      <c r="M911" s="2" t="str">
        <f t="shared" si="59"/>
        <v>T1-2023</v>
      </c>
    </row>
    <row r="912" spans="1:13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 t="str">
        <f t="shared" si="56"/>
        <v>60+</v>
      </c>
      <c r="K912" t="str">
        <f t="shared" si="57"/>
        <v>domingo-05</v>
      </c>
      <c r="L912">
        <f t="shared" si="58"/>
        <v>2023</v>
      </c>
      <c r="M912" s="2" t="str">
        <f t="shared" si="59"/>
        <v>T2-2023</v>
      </c>
    </row>
    <row r="913" spans="1:13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 t="str">
        <f t="shared" si="56"/>
        <v>60+</v>
      </c>
      <c r="K913" t="str">
        <f t="shared" si="57"/>
        <v>martes-01</v>
      </c>
      <c r="L913">
        <f t="shared" si="58"/>
        <v>2023</v>
      </c>
      <c r="M913" s="2" t="str">
        <f t="shared" si="59"/>
        <v>T1-2023</v>
      </c>
    </row>
    <row r="914" spans="1:13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 t="str">
        <f t="shared" si="56"/>
        <v>60+</v>
      </c>
      <c r="K914" t="str">
        <f t="shared" si="57"/>
        <v>sábado-01</v>
      </c>
      <c r="L914">
        <f t="shared" si="58"/>
        <v>2023</v>
      </c>
      <c r="M914" s="2" t="str">
        <f t="shared" si="59"/>
        <v>T1-2023</v>
      </c>
    </row>
    <row r="915" spans="1:13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 t="str">
        <f t="shared" si="56"/>
        <v>60+</v>
      </c>
      <c r="K915" t="str">
        <f t="shared" si="57"/>
        <v>miércoles-10</v>
      </c>
      <c r="L915">
        <f t="shared" si="58"/>
        <v>2023</v>
      </c>
      <c r="M915" s="2" t="str">
        <f t="shared" si="59"/>
        <v>T4-2023</v>
      </c>
    </row>
    <row r="916" spans="1:13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 t="str">
        <f t="shared" si="56"/>
        <v>60+</v>
      </c>
      <c r="K916" t="str">
        <f t="shared" si="57"/>
        <v>martes-05</v>
      </c>
      <c r="L916">
        <f t="shared" si="58"/>
        <v>2023</v>
      </c>
      <c r="M916" s="2" t="str">
        <f t="shared" si="59"/>
        <v>T2-2023</v>
      </c>
    </row>
    <row r="917" spans="1:13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 t="str">
        <f t="shared" si="56"/>
        <v>60+</v>
      </c>
      <c r="K917" t="str">
        <f t="shared" si="57"/>
        <v>domingo-12</v>
      </c>
      <c r="L917">
        <f t="shared" si="58"/>
        <v>2023</v>
      </c>
      <c r="M917" s="2" t="str">
        <f t="shared" si="59"/>
        <v>T4-2023</v>
      </c>
    </row>
    <row r="918" spans="1:13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 t="str">
        <f t="shared" si="56"/>
        <v>60+</v>
      </c>
      <c r="K918" t="str">
        <f t="shared" si="57"/>
        <v>lunes-03</v>
      </c>
      <c r="L918">
        <f t="shared" si="58"/>
        <v>2023</v>
      </c>
      <c r="M918" s="2" t="str">
        <f t="shared" si="59"/>
        <v>T1-2023</v>
      </c>
    </row>
    <row r="919" spans="1:13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 t="str">
        <f t="shared" si="56"/>
        <v>60+</v>
      </c>
      <c r="K919" t="str">
        <f t="shared" si="57"/>
        <v>jueves-11</v>
      </c>
      <c r="L919">
        <f t="shared" si="58"/>
        <v>2023</v>
      </c>
      <c r="M919" s="2" t="str">
        <f t="shared" si="59"/>
        <v>T4-2023</v>
      </c>
    </row>
    <row r="920" spans="1:13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 t="str">
        <f t="shared" si="56"/>
        <v>60+</v>
      </c>
      <c r="K920" t="str">
        <f t="shared" si="57"/>
        <v>sábado-09</v>
      </c>
      <c r="L920">
        <f t="shared" si="58"/>
        <v>2023</v>
      </c>
      <c r="M920" s="2" t="str">
        <f t="shared" si="59"/>
        <v>T3-2023</v>
      </c>
    </row>
    <row r="921" spans="1:13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 t="str">
        <f t="shared" si="56"/>
        <v>60+</v>
      </c>
      <c r="K921" t="str">
        <f t="shared" si="57"/>
        <v>miércoles-02</v>
      </c>
      <c r="L921">
        <f t="shared" si="58"/>
        <v>2023</v>
      </c>
      <c r="M921" s="2" t="str">
        <f t="shared" si="59"/>
        <v>T1-2023</v>
      </c>
    </row>
    <row r="922" spans="1:13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 t="str">
        <f t="shared" si="56"/>
        <v>60+</v>
      </c>
      <c r="K922" t="str">
        <f t="shared" si="57"/>
        <v>sábado-01</v>
      </c>
      <c r="L922">
        <f t="shared" si="58"/>
        <v>2023</v>
      </c>
      <c r="M922" s="2" t="str">
        <f t="shared" si="59"/>
        <v>T1-2023</v>
      </c>
    </row>
    <row r="923" spans="1:13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 t="str">
        <f t="shared" si="56"/>
        <v>60+</v>
      </c>
      <c r="K923" t="str">
        <f t="shared" si="57"/>
        <v>sábado-10</v>
      </c>
      <c r="L923">
        <f t="shared" si="58"/>
        <v>2023</v>
      </c>
      <c r="M923" s="2" t="str">
        <f t="shared" si="59"/>
        <v>T4-2023</v>
      </c>
    </row>
    <row r="924" spans="1:13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 t="str">
        <f t="shared" si="56"/>
        <v>60+</v>
      </c>
      <c r="K924" t="str">
        <f t="shared" si="57"/>
        <v>viernes-05</v>
      </c>
      <c r="L924">
        <f t="shared" si="58"/>
        <v>2023</v>
      </c>
      <c r="M924" s="2" t="str">
        <f t="shared" si="59"/>
        <v>T2-2023</v>
      </c>
    </row>
    <row r="925" spans="1:13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 t="str">
        <f t="shared" si="56"/>
        <v>60+</v>
      </c>
      <c r="K925" t="str">
        <f t="shared" si="57"/>
        <v>martes-08</v>
      </c>
      <c r="L925">
        <f t="shared" si="58"/>
        <v>2023</v>
      </c>
      <c r="M925" s="2" t="str">
        <f t="shared" si="59"/>
        <v>T3-2023</v>
      </c>
    </row>
    <row r="926" spans="1:13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 t="str">
        <f t="shared" si="56"/>
        <v>60+</v>
      </c>
      <c r="K926" t="str">
        <f t="shared" si="57"/>
        <v>domingo-09</v>
      </c>
      <c r="L926">
        <f t="shared" si="58"/>
        <v>2023</v>
      </c>
      <c r="M926" s="2" t="str">
        <f t="shared" si="59"/>
        <v>T3-2023</v>
      </c>
    </row>
    <row r="927" spans="1:13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 t="str">
        <f t="shared" si="56"/>
        <v>60+</v>
      </c>
      <c r="K927" t="str">
        <f t="shared" si="57"/>
        <v>lunes-08</v>
      </c>
      <c r="L927">
        <f t="shared" si="58"/>
        <v>2023</v>
      </c>
      <c r="M927" s="2" t="str">
        <f t="shared" si="59"/>
        <v>T3-2023</v>
      </c>
    </row>
    <row r="928" spans="1:13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 t="str">
        <f t="shared" si="56"/>
        <v>60+</v>
      </c>
      <c r="K928" t="str">
        <f t="shared" si="57"/>
        <v>sábado-06</v>
      </c>
      <c r="L928">
        <f t="shared" si="58"/>
        <v>2023</v>
      </c>
      <c r="M928" s="2" t="str">
        <f t="shared" si="59"/>
        <v>T2-2023</v>
      </c>
    </row>
    <row r="929" spans="1:13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 t="str">
        <f t="shared" si="56"/>
        <v>60+</v>
      </c>
      <c r="K929" t="str">
        <f t="shared" si="57"/>
        <v>miércoles-04</v>
      </c>
      <c r="L929">
        <f t="shared" si="58"/>
        <v>2023</v>
      </c>
      <c r="M929" s="2" t="str">
        <f t="shared" si="59"/>
        <v>T2-2023</v>
      </c>
    </row>
    <row r="930" spans="1:13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 t="str">
        <f t="shared" si="56"/>
        <v>60+</v>
      </c>
      <c r="K930" t="str">
        <f t="shared" si="57"/>
        <v>viernes-01</v>
      </c>
      <c r="L930">
        <f t="shared" si="58"/>
        <v>2023</v>
      </c>
      <c r="M930" s="2" t="str">
        <f t="shared" si="59"/>
        <v>T1-2023</v>
      </c>
    </row>
    <row r="931" spans="1:13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 t="str">
        <f t="shared" si="56"/>
        <v>60+</v>
      </c>
      <c r="K931" t="str">
        <f t="shared" si="57"/>
        <v>miércoles-05</v>
      </c>
      <c r="L931">
        <f t="shared" si="58"/>
        <v>2023</v>
      </c>
      <c r="M931" s="2" t="str">
        <f t="shared" si="59"/>
        <v>T2-2023</v>
      </c>
    </row>
    <row r="932" spans="1:13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 t="str">
        <f t="shared" si="56"/>
        <v>60+</v>
      </c>
      <c r="K932" t="str">
        <f t="shared" si="57"/>
        <v>sábado-09</v>
      </c>
      <c r="L932">
        <f t="shared" si="58"/>
        <v>2023</v>
      </c>
      <c r="M932" s="2" t="str">
        <f t="shared" si="59"/>
        <v>T3-2023</v>
      </c>
    </row>
    <row r="933" spans="1:13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 t="str">
        <f t="shared" si="56"/>
        <v>60+</v>
      </c>
      <c r="K933" t="str">
        <f t="shared" si="57"/>
        <v>martes-02</v>
      </c>
      <c r="L933">
        <f t="shared" si="58"/>
        <v>2023</v>
      </c>
      <c r="M933" s="2" t="str">
        <f t="shared" si="59"/>
        <v>T1-2023</v>
      </c>
    </row>
    <row r="934" spans="1:13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 t="str">
        <f t="shared" si="56"/>
        <v>60+</v>
      </c>
      <c r="K934" t="str">
        <f t="shared" si="57"/>
        <v>viernes-02</v>
      </c>
      <c r="L934">
        <f t="shared" si="58"/>
        <v>2023</v>
      </c>
      <c r="M934" s="2" t="str">
        <f t="shared" si="59"/>
        <v>T1-2023</v>
      </c>
    </row>
    <row r="935" spans="1:13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 t="str">
        <f t="shared" si="56"/>
        <v>60+</v>
      </c>
      <c r="K935" t="str">
        <f t="shared" si="57"/>
        <v>martes-07</v>
      </c>
      <c r="L935">
        <f t="shared" si="58"/>
        <v>2023</v>
      </c>
      <c r="M935" s="2" t="str">
        <f t="shared" si="59"/>
        <v>T3-2023</v>
      </c>
    </row>
    <row r="936" spans="1:13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 t="str">
        <f t="shared" si="56"/>
        <v>60+</v>
      </c>
      <c r="K936" t="str">
        <f t="shared" si="57"/>
        <v>sábado-09</v>
      </c>
      <c r="L936">
        <f t="shared" si="58"/>
        <v>2023</v>
      </c>
      <c r="M936" s="2" t="str">
        <f t="shared" si="59"/>
        <v>T3-2023</v>
      </c>
    </row>
    <row r="937" spans="1:13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 t="str">
        <f t="shared" si="56"/>
        <v>60+</v>
      </c>
      <c r="K937" t="str">
        <f t="shared" si="57"/>
        <v>martes-02</v>
      </c>
      <c r="L937">
        <f t="shared" si="58"/>
        <v>2023</v>
      </c>
      <c r="M937" s="2" t="str">
        <f t="shared" si="59"/>
        <v>T1-2023</v>
      </c>
    </row>
    <row r="938" spans="1:13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 t="str">
        <f t="shared" si="56"/>
        <v>60+</v>
      </c>
      <c r="K938" t="str">
        <f t="shared" si="57"/>
        <v>lunes-10</v>
      </c>
      <c r="L938">
        <f t="shared" si="58"/>
        <v>2023</v>
      </c>
      <c r="M938" s="2" t="str">
        <f t="shared" si="59"/>
        <v>T4-2023</v>
      </c>
    </row>
    <row r="939" spans="1:13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 t="str">
        <f t="shared" si="56"/>
        <v>60+</v>
      </c>
      <c r="K939" t="str">
        <f t="shared" si="57"/>
        <v>domingo-11</v>
      </c>
      <c r="L939">
        <f t="shared" si="58"/>
        <v>2023</v>
      </c>
      <c r="M939" s="2" t="str">
        <f t="shared" si="59"/>
        <v>T4-2023</v>
      </c>
    </row>
    <row r="940" spans="1:13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 t="str">
        <f t="shared" si="56"/>
        <v>60+</v>
      </c>
      <c r="K940" t="str">
        <f t="shared" si="57"/>
        <v>lunes-12</v>
      </c>
      <c r="L940">
        <f t="shared" si="58"/>
        <v>2023</v>
      </c>
      <c r="M940" s="2" t="str">
        <f t="shared" si="59"/>
        <v>T4-2023</v>
      </c>
    </row>
    <row r="941" spans="1:13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 t="str">
        <f t="shared" si="56"/>
        <v>60+</v>
      </c>
      <c r="K941" t="str">
        <f t="shared" si="57"/>
        <v>sábado-01</v>
      </c>
      <c r="L941">
        <f t="shared" si="58"/>
        <v>2023</v>
      </c>
      <c r="M941" s="2" t="str">
        <f t="shared" si="59"/>
        <v>T1-2023</v>
      </c>
    </row>
    <row r="942" spans="1:13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 t="str">
        <f t="shared" si="56"/>
        <v>60+</v>
      </c>
      <c r="K942" t="str">
        <f t="shared" si="57"/>
        <v>domingo-03</v>
      </c>
      <c r="L942">
        <f t="shared" si="58"/>
        <v>2023</v>
      </c>
      <c r="M942" s="2" t="str">
        <f t="shared" si="59"/>
        <v>T1-2023</v>
      </c>
    </row>
    <row r="943" spans="1:13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 t="str">
        <f t="shared" si="56"/>
        <v>60+</v>
      </c>
      <c r="K943" t="str">
        <f t="shared" si="57"/>
        <v>sábado-03</v>
      </c>
      <c r="L943">
        <f t="shared" si="58"/>
        <v>2023</v>
      </c>
      <c r="M943" s="2" t="str">
        <f t="shared" si="59"/>
        <v>T1-2023</v>
      </c>
    </row>
    <row r="944" spans="1:13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 t="str">
        <f t="shared" si="56"/>
        <v>60+</v>
      </c>
      <c r="K944" t="str">
        <f t="shared" si="57"/>
        <v>lunes-10</v>
      </c>
      <c r="L944">
        <f t="shared" si="58"/>
        <v>2023</v>
      </c>
      <c r="M944" s="2" t="str">
        <f t="shared" si="59"/>
        <v>T4-2023</v>
      </c>
    </row>
    <row r="945" spans="1:13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 t="str">
        <f t="shared" si="56"/>
        <v>60+</v>
      </c>
      <c r="K945" t="str">
        <f t="shared" si="57"/>
        <v>lunes-06</v>
      </c>
      <c r="L945">
        <f t="shared" si="58"/>
        <v>2023</v>
      </c>
      <c r="M945" s="2" t="str">
        <f t="shared" si="59"/>
        <v>T2-2023</v>
      </c>
    </row>
    <row r="946" spans="1:13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 t="str">
        <f t="shared" si="56"/>
        <v>60+</v>
      </c>
      <c r="K946" t="str">
        <f t="shared" si="57"/>
        <v>lunes-02</v>
      </c>
      <c r="L946">
        <f t="shared" si="58"/>
        <v>2023</v>
      </c>
      <c r="M946" s="2" t="str">
        <f t="shared" si="59"/>
        <v>T1-2023</v>
      </c>
    </row>
    <row r="947" spans="1:13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 t="str">
        <f t="shared" si="56"/>
        <v>60+</v>
      </c>
      <c r="K947" t="str">
        <f t="shared" si="57"/>
        <v>lunes-05</v>
      </c>
      <c r="L947">
        <f t="shared" si="58"/>
        <v>2023</v>
      </c>
      <c r="M947" s="2" t="str">
        <f t="shared" si="59"/>
        <v>T2-2023</v>
      </c>
    </row>
    <row r="948" spans="1:13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 t="str">
        <f t="shared" si="56"/>
        <v>60+</v>
      </c>
      <c r="K948" t="str">
        <f t="shared" si="57"/>
        <v>jueves-03</v>
      </c>
      <c r="L948">
        <f t="shared" si="58"/>
        <v>2023</v>
      </c>
      <c r="M948" s="2" t="str">
        <f t="shared" si="59"/>
        <v>T1-2023</v>
      </c>
    </row>
    <row r="949" spans="1:13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 t="str">
        <f t="shared" si="56"/>
        <v>60+</v>
      </c>
      <c r="K949" t="str">
        <f t="shared" si="57"/>
        <v>viernes-10</v>
      </c>
      <c r="L949">
        <f t="shared" si="58"/>
        <v>2023</v>
      </c>
      <c r="M949" s="2" t="str">
        <f t="shared" si="59"/>
        <v>T4-2023</v>
      </c>
    </row>
    <row r="950" spans="1:13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 t="str">
        <f t="shared" si="56"/>
        <v>60+</v>
      </c>
      <c r="K950" t="str">
        <f t="shared" si="57"/>
        <v>miércoles-08</v>
      </c>
      <c r="L950">
        <f t="shared" si="58"/>
        <v>2023</v>
      </c>
      <c r="M950" s="2" t="str">
        <f t="shared" si="59"/>
        <v>T3-2023</v>
      </c>
    </row>
    <row r="951" spans="1:13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 t="str">
        <f t="shared" si="56"/>
        <v>60+</v>
      </c>
      <c r="K951" t="str">
        <f t="shared" si="57"/>
        <v>martes-11</v>
      </c>
      <c r="L951">
        <f t="shared" si="58"/>
        <v>2023</v>
      </c>
      <c r="M951" s="2" t="str">
        <f t="shared" si="59"/>
        <v>T4-2023</v>
      </c>
    </row>
    <row r="952" spans="1:13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 t="str">
        <f t="shared" si="56"/>
        <v>60+</v>
      </c>
      <c r="K952" t="str">
        <f t="shared" si="57"/>
        <v>jueves-11</v>
      </c>
      <c r="L952">
        <f t="shared" si="58"/>
        <v>2023</v>
      </c>
      <c r="M952" s="2" t="str">
        <f t="shared" si="59"/>
        <v>T4-2023</v>
      </c>
    </row>
    <row r="953" spans="1:13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 t="str">
        <f t="shared" si="56"/>
        <v>60+</v>
      </c>
      <c r="K953" t="str">
        <f t="shared" si="57"/>
        <v>lunes-11</v>
      </c>
      <c r="L953">
        <f t="shared" si="58"/>
        <v>2023</v>
      </c>
      <c r="M953" s="2" t="str">
        <f t="shared" si="59"/>
        <v>T4-2023</v>
      </c>
    </row>
    <row r="954" spans="1:13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 t="str">
        <f t="shared" si="56"/>
        <v>60+</v>
      </c>
      <c r="K954" t="str">
        <f t="shared" si="57"/>
        <v>miércoles-04</v>
      </c>
      <c r="L954">
        <f t="shared" si="58"/>
        <v>2023</v>
      </c>
      <c r="M954" s="2" t="str">
        <f t="shared" si="59"/>
        <v>T2-2023</v>
      </c>
    </row>
    <row r="955" spans="1:13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 t="str">
        <f t="shared" si="56"/>
        <v>60+</v>
      </c>
      <c r="K955" t="str">
        <f t="shared" si="57"/>
        <v>lunes-09</v>
      </c>
      <c r="L955">
        <f t="shared" si="58"/>
        <v>2023</v>
      </c>
      <c r="M955" s="2" t="str">
        <f t="shared" si="59"/>
        <v>T3-2023</v>
      </c>
    </row>
    <row r="956" spans="1:13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 t="str">
        <f t="shared" si="56"/>
        <v>60+</v>
      </c>
      <c r="K956" t="str">
        <f t="shared" si="57"/>
        <v>viernes-07</v>
      </c>
      <c r="L956">
        <f t="shared" si="58"/>
        <v>2023</v>
      </c>
      <c r="M956" s="2" t="str">
        <f t="shared" si="59"/>
        <v>T3-2023</v>
      </c>
    </row>
    <row r="957" spans="1:13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 t="str">
        <f t="shared" si="56"/>
        <v>60+</v>
      </c>
      <c r="K957" t="str">
        <f t="shared" si="57"/>
        <v>sábado-08</v>
      </c>
      <c r="L957">
        <f t="shared" si="58"/>
        <v>2023</v>
      </c>
      <c r="M957" s="2" t="str">
        <f t="shared" si="59"/>
        <v>T3-2023</v>
      </c>
    </row>
    <row r="958" spans="1:13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 t="str">
        <f t="shared" si="56"/>
        <v>60+</v>
      </c>
      <c r="K958" t="str">
        <f t="shared" si="57"/>
        <v>martes-08</v>
      </c>
      <c r="L958">
        <f t="shared" si="58"/>
        <v>2023</v>
      </c>
      <c r="M958" s="2" t="str">
        <f t="shared" si="59"/>
        <v>T3-2023</v>
      </c>
    </row>
    <row r="959" spans="1:13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 t="str">
        <f t="shared" si="56"/>
        <v>60+</v>
      </c>
      <c r="K959" t="str">
        <f t="shared" si="57"/>
        <v>viernes-06</v>
      </c>
      <c r="L959">
        <f t="shared" si="58"/>
        <v>2023</v>
      </c>
      <c r="M959" s="2" t="str">
        <f t="shared" si="59"/>
        <v>T2-2023</v>
      </c>
    </row>
    <row r="960" spans="1:13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 t="str">
        <f t="shared" si="56"/>
        <v>60+</v>
      </c>
      <c r="K960" t="str">
        <f t="shared" si="57"/>
        <v>domingo-10</v>
      </c>
      <c r="L960">
        <f t="shared" si="58"/>
        <v>2023</v>
      </c>
      <c r="M960" s="2" t="str">
        <f t="shared" si="59"/>
        <v>T4-2023</v>
      </c>
    </row>
    <row r="961" spans="1:13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 t="str">
        <f t="shared" si="56"/>
        <v>60+</v>
      </c>
      <c r="K961" t="str">
        <f t="shared" si="57"/>
        <v>martes-08</v>
      </c>
      <c r="L961">
        <f t="shared" si="58"/>
        <v>2023</v>
      </c>
      <c r="M961" s="2" t="str">
        <f t="shared" si="59"/>
        <v>T3-2023</v>
      </c>
    </row>
    <row r="962" spans="1:13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 t="str">
        <f t="shared" ref="J962:J1001" si="60">IF(D962&lt;30,"18-29",IF(D962&lt;45,"30-44",IF(D962&lt;60,"45-59","60+")))</f>
        <v>60+</v>
      </c>
      <c r="K962" t="str">
        <f t="shared" ref="K962:K1001" si="61">TEXT(B962,"AAAA-MM")</f>
        <v>martes-06</v>
      </c>
      <c r="L962">
        <f t="shared" ref="L962:L1001" si="62">YEAR(B962)</f>
        <v>2023</v>
      </c>
      <c r="M962" s="2" t="str">
        <f t="shared" ref="M962:M1001" si="63">"T"&amp;INT((MONTH(B962)-1)/3+1)&amp;"-"&amp;YEAR(B962)</f>
        <v>T2-2023</v>
      </c>
    </row>
    <row r="963" spans="1:13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 t="str">
        <f t="shared" si="60"/>
        <v>60+</v>
      </c>
      <c r="K963" t="str">
        <f t="shared" si="61"/>
        <v>jueves-10</v>
      </c>
      <c r="L963">
        <f t="shared" si="62"/>
        <v>2023</v>
      </c>
      <c r="M963" s="2" t="str">
        <f t="shared" si="63"/>
        <v>T4-2023</v>
      </c>
    </row>
    <row r="964" spans="1:13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 t="str">
        <f t="shared" si="60"/>
        <v>60+</v>
      </c>
      <c r="K964" t="str">
        <f t="shared" si="61"/>
        <v>martes-11</v>
      </c>
      <c r="L964">
        <f t="shared" si="62"/>
        <v>2023</v>
      </c>
      <c r="M964" s="2" t="str">
        <f t="shared" si="63"/>
        <v>T4-2023</v>
      </c>
    </row>
    <row r="965" spans="1:13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 t="str">
        <f t="shared" si="60"/>
        <v>60+</v>
      </c>
      <c r="K965" t="str">
        <f t="shared" si="61"/>
        <v>martes-01</v>
      </c>
      <c r="L965">
        <f t="shared" si="62"/>
        <v>2023</v>
      </c>
      <c r="M965" s="2" t="str">
        <f t="shared" si="63"/>
        <v>T1-2023</v>
      </c>
    </row>
    <row r="966" spans="1:13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 t="str">
        <f t="shared" si="60"/>
        <v>60+</v>
      </c>
      <c r="K966" t="str">
        <f t="shared" si="61"/>
        <v>jueves-11</v>
      </c>
      <c r="L966">
        <f t="shared" si="62"/>
        <v>2023</v>
      </c>
      <c r="M966" s="2" t="str">
        <f t="shared" si="63"/>
        <v>T4-2023</v>
      </c>
    </row>
    <row r="967" spans="1:13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 t="str">
        <f t="shared" si="60"/>
        <v>60+</v>
      </c>
      <c r="K967" t="str">
        <f t="shared" si="61"/>
        <v>lunes-02</v>
      </c>
      <c r="L967">
        <f t="shared" si="62"/>
        <v>2023</v>
      </c>
      <c r="M967" s="2" t="str">
        <f t="shared" si="63"/>
        <v>T1-2023</v>
      </c>
    </row>
    <row r="968" spans="1:13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 t="str">
        <f t="shared" si="60"/>
        <v>60+</v>
      </c>
      <c r="K968" t="str">
        <f t="shared" si="61"/>
        <v>lunes-04</v>
      </c>
      <c r="L968">
        <f t="shared" si="62"/>
        <v>2023</v>
      </c>
      <c r="M968" s="2" t="str">
        <f t="shared" si="63"/>
        <v>T2-2023</v>
      </c>
    </row>
    <row r="969" spans="1:13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 t="str">
        <f t="shared" si="60"/>
        <v>60+</v>
      </c>
      <c r="K969" t="str">
        <f t="shared" si="61"/>
        <v>viernes-11</v>
      </c>
      <c r="L969">
        <f t="shared" si="62"/>
        <v>2023</v>
      </c>
      <c r="M969" s="2" t="str">
        <f t="shared" si="63"/>
        <v>T4-2023</v>
      </c>
    </row>
    <row r="970" spans="1:13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 t="str">
        <f t="shared" si="60"/>
        <v>60+</v>
      </c>
      <c r="K970" t="str">
        <f t="shared" si="61"/>
        <v>miércoles-04</v>
      </c>
      <c r="L970">
        <f t="shared" si="62"/>
        <v>2023</v>
      </c>
      <c r="M970" s="2" t="str">
        <f t="shared" si="63"/>
        <v>T2-2023</v>
      </c>
    </row>
    <row r="971" spans="1:13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 t="str">
        <f t="shared" si="60"/>
        <v>60+</v>
      </c>
      <c r="K971" t="str">
        <f t="shared" si="61"/>
        <v>martes-05</v>
      </c>
      <c r="L971">
        <f t="shared" si="62"/>
        <v>2023</v>
      </c>
      <c r="M971" s="2" t="str">
        <f t="shared" si="63"/>
        <v>T2-2023</v>
      </c>
    </row>
    <row r="972" spans="1:13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 t="str">
        <f t="shared" si="60"/>
        <v>60+</v>
      </c>
      <c r="K972" t="str">
        <f t="shared" si="61"/>
        <v>martes-12</v>
      </c>
      <c r="L972">
        <f t="shared" si="62"/>
        <v>2023</v>
      </c>
      <c r="M972" s="2" t="str">
        <f t="shared" si="63"/>
        <v>T4-2023</v>
      </c>
    </row>
    <row r="973" spans="1:13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 t="str">
        <f t="shared" si="60"/>
        <v>60+</v>
      </c>
      <c r="K973" t="str">
        <f t="shared" si="61"/>
        <v>sábado-02</v>
      </c>
      <c r="L973">
        <f t="shared" si="62"/>
        <v>2023</v>
      </c>
      <c r="M973" s="2" t="str">
        <f t="shared" si="63"/>
        <v>T1-2023</v>
      </c>
    </row>
    <row r="974" spans="1:13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 t="str">
        <f t="shared" si="60"/>
        <v>60+</v>
      </c>
      <c r="K974" t="str">
        <f t="shared" si="61"/>
        <v>miércoles-03</v>
      </c>
      <c r="L974">
        <f t="shared" si="62"/>
        <v>2023</v>
      </c>
      <c r="M974" s="2" t="str">
        <f t="shared" si="63"/>
        <v>T1-2023</v>
      </c>
    </row>
    <row r="975" spans="1:13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 t="str">
        <f t="shared" si="60"/>
        <v>60+</v>
      </c>
      <c r="K975" t="str">
        <f t="shared" si="61"/>
        <v>miércoles-05</v>
      </c>
      <c r="L975">
        <f t="shared" si="62"/>
        <v>2023</v>
      </c>
      <c r="M975" s="2" t="str">
        <f t="shared" si="63"/>
        <v>T2-2023</v>
      </c>
    </row>
    <row r="976" spans="1:13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 t="str">
        <f t="shared" si="60"/>
        <v>60+</v>
      </c>
      <c r="K976" t="str">
        <f t="shared" si="61"/>
        <v>jueves-03</v>
      </c>
      <c r="L976">
        <f t="shared" si="62"/>
        <v>2023</v>
      </c>
      <c r="M976" s="2" t="str">
        <f t="shared" si="63"/>
        <v>T1-2023</v>
      </c>
    </row>
    <row r="977" spans="1:13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 t="str">
        <f t="shared" si="60"/>
        <v>60+</v>
      </c>
      <c r="K977" t="str">
        <f t="shared" si="61"/>
        <v>martes-10</v>
      </c>
      <c r="L977">
        <f t="shared" si="62"/>
        <v>2023</v>
      </c>
      <c r="M977" s="2" t="str">
        <f t="shared" si="63"/>
        <v>T4-2023</v>
      </c>
    </row>
    <row r="978" spans="1:13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 t="str">
        <f t="shared" si="60"/>
        <v>60+</v>
      </c>
      <c r="K978" t="str">
        <f t="shared" si="61"/>
        <v>miércoles-02</v>
      </c>
      <c r="L978">
        <f t="shared" si="62"/>
        <v>2023</v>
      </c>
      <c r="M978" s="2" t="str">
        <f t="shared" si="63"/>
        <v>T1-2023</v>
      </c>
    </row>
    <row r="979" spans="1:13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 t="str">
        <f t="shared" si="60"/>
        <v>60+</v>
      </c>
      <c r="K979" t="str">
        <f t="shared" si="61"/>
        <v>miércoles-03</v>
      </c>
      <c r="L979">
        <f t="shared" si="62"/>
        <v>2023</v>
      </c>
      <c r="M979" s="2" t="str">
        <f t="shared" si="63"/>
        <v>T1-2023</v>
      </c>
    </row>
    <row r="980" spans="1:13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 t="str">
        <f t="shared" si="60"/>
        <v>60+</v>
      </c>
      <c r="K980" t="str">
        <f t="shared" si="61"/>
        <v>lunes-01</v>
      </c>
      <c r="L980">
        <f t="shared" si="62"/>
        <v>2023</v>
      </c>
      <c r="M980" s="2" t="str">
        <f t="shared" si="63"/>
        <v>T1-2023</v>
      </c>
    </row>
    <row r="981" spans="1:13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 t="str">
        <f t="shared" si="60"/>
        <v>60+</v>
      </c>
      <c r="K981" t="str">
        <f t="shared" si="61"/>
        <v>sábado-07</v>
      </c>
      <c r="L981">
        <f t="shared" si="62"/>
        <v>2023</v>
      </c>
      <c r="M981" s="2" t="str">
        <f t="shared" si="63"/>
        <v>T3-2023</v>
      </c>
    </row>
    <row r="982" spans="1:13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 t="str">
        <f t="shared" si="60"/>
        <v>60+</v>
      </c>
      <c r="K982" t="str">
        <f t="shared" si="61"/>
        <v>sábado-08</v>
      </c>
      <c r="L982">
        <f t="shared" si="62"/>
        <v>2023</v>
      </c>
      <c r="M982" s="2" t="str">
        <f t="shared" si="63"/>
        <v>T3-2023</v>
      </c>
    </row>
    <row r="983" spans="1:13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 t="str">
        <f t="shared" si="60"/>
        <v>60+</v>
      </c>
      <c r="K983" t="str">
        <f t="shared" si="61"/>
        <v>martes-12</v>
      </c>
      <c r="L983">
        <f t="shared" si="62"/>
        <v>2023</v>
      </c>
      <c r="M983" s="2" t="str">
        <f t="shared" si="63"/>
        <v>T4-2023</v>
      </c>
    </row>
    <row r="984" spans="1:13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 t="str">
        <f t="shared" si="60"/>
        <v>60+</v>
      </c>
      <c r="K984" t="str">
        <f t="shared" si="61"/>
        <v>miércoles-11</v>
      </c>
      <c r="L984">
        <f t="shared" si="62"/>
        <v>2023</v>
      </c>
      <c r="M984" s="2" t="str">
        <f t="shared" si="63"/>
        <v>T4-2023</v>
      </c>
    </row>
    <row r="985" spans="1:13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 t="str">
        <f t="shared" si="60"/>
        <v>60+</v>
      </c>
      <c r="K985" t="str">
        <f t="shared" si="61"/>
        <v>martes-08</v>
      </c>
      <c r="L985">
        <f t="shared" si="62"/>
        <v>2023</v>
      </c>
      <c r="M985" s="2" t="str">
        <f t="shared" si="63"/>
        <v>T3-2023</v>
      </c>
    </row>
    <row r="986" spans="1:13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 t="str">
        <f t="shared" si="60"/>
        <v>60+</v>
      </c>
      <c r="K986" t="str">
        <f t="shared" si="61"/>
        <v>martes-05</v>
      </c>
      <c r="L986">
        <f t="shared" si="62"/>
        <v>2023</v>
      </c>
      <c r="M986" s="2" t="str">
        <f t="shared" si="63"/>
        <v>T2-2023</v>
      </c>
    </row>
    <row r="987" spans="1:13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 t="str">
        <f t="shared" si="60"/>
        <v>60+</v>
      </c>
      <c r="K987" t="str">
        <f t="shared" si="61"/>
        <v>martes-01</v>
      </c>
      <c r="L987">
        <f t="shared" si="62"/>
        <v>2023</v>
      </c>
      <c r="M987" s="2" t="str">
        <f t="shared" si="63"/>
        <v>T1-2023</v>
      </c>
    </row>
    <row r="988" spans="1:13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 t="str">
        <f t="shared" si="60"/>
        <v>60+</v>
      </c>
      <c r="K988" t="str">
        <f t="shared" si="61"/>
        <v>sábado-04</v>
      </c>
      <c r="L988">
        <f t="shared" si="62"/>
        <v>2023</v>
      </c>
      <c r="M988" s="2" t="str">
        <f t="shared" si="63"/>
        <v>T2-2023</v>
      </c>
    </row>
    <row r="989" spans="1:13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 t="str">
        <f t="shared" si="60"/>
        <v>60+</v>
      </c>
      <c r="K989" t="str">
        <f t="shared" si="61"/>
        <v>domingo-05</v>
      </c>
      <c r="L989">
        <f t="shared" si="62"/>
        <v>2023</v>
      </c>
      <c r="M989" s="2" t="str">
        <f t="shared" si="63"/>
        <v>T2-2023</v>
      </c>
    </row>
    <row r="990" spans="1:13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 t="str">
        <f t="shared" si="60"/>
        <v>60+</v>
      </c>
      <c r="K990" t="str">
        <f t="shared" si="61"/>
        <v>jueves-12</v>
      </c>
      <c r="L990">
        <f t="shared" si="62"/>
        <v>2023</v>
      </c>
      <c r="M990" s="2" t="str">
        <f t="shared" si="63"/>
        <v>T4-2023</v>
      </c>
    </row>
    <row r="991" spans="1:13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 t="str">
        <f t="shared" si="60"/>
        <v>60+</v>
      </c>
      <c r="K991" t="str">
        <f t="shared" si="61"/>
        <v>jueves-05</v>
      </c>
      <c r="L991">
        <f t="shared" si="62"/>
        <v>2023</v>
      </c>
      <c r="M991" s="2" t="str">
        <f t="shared" si="63"/>
        <v>T2-2023</v>
      </c>
    </row>
    <row r="992" spans="1:13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 t="str">
        <f t="shared" si="60"/>
        <v>60+</v>
      </c>
      <c r="K992" t="str">
        <f t="shared" si="61"/>
        <v>martes-12</v>
      </c>
      <c r="L992">
        <f t="shared" si="62"/>
        <v>2023</v>
      </c>
      <c r="M992" s="2" t="str">
        <f t="shared" si="63"/>
        <v>T4-2023</v>
      </c>
    </row>
    <row r="993" spans="1:13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 t="str">
        <f t="shared" si="60"/>
        <v>60+</v>
      </c>
      <c r="K993" t="str">
        <f t="shared" si="61"/>
        <v>lunes-08</v>
      </c>
      <c r="L993">
        <f t="shared" si="62"/>
        <v>2023</v>
      </c>
      <c r="M993" s="2" t="str">
        <f t="shared" si="63"/>
        <v>T3-2023</v>
      </c>
    </row>
    <row r="994" spans="1:13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 t="str">
        <f t="shared" si="60"/>
        <v>60+</v>
      </c>
      <c r="K994" t="str">
        <f t="shared" si="61"/>
        <v>lunes-02</v>
      </c>
      <c r="L994">
        <f t="shared" si="62"/>
        <v>2023</v>
      </c>
      <c r="M994" s="2" t="str">
        <f t="shared" si="63"/>
        <v>T1-2023</v>
      </c>
    </row>
    <row r="995" spans="1:13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 t="str">
        <f t="shared" si="60"/>
        <v>60+</v>
      </c>
      <c r="K995" t="str">
        <f t="shared" si="61"/>
        <v>lunes-12</v>
      </c>
      <c r="L995">
        <f t="shared" si="62"/>
        <v>2023</v>
      </c>
      <c r="M995" s="2" t="str">
        <f t="shared" si="63"/>
        <v>T4-2023</v>
      </c>
    </row>
    <row r="996" spans="1:13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 t="str">
        <f t="shared" si="60"/>
        <v>60+</v>
      </c>
      <c r="K996" t="str">
        <f t="shared" si="61"/>
        <v>domingo-04</v>
      </c>
      <c r="L996">
        <f t="shared" si="62"/>
        <v>2023</v>
      </c>
      <c r="M996" s="2" t="str">
        <f t="shared" si="63"/>
        <v>T2-2023</v>
      </c>
    </row>
    <row r="997" spans="1:13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 t="str">
        <f t="shared" si="60"/>
        <v>60+</v>
      </c>
      <c r="K997" t="str">
        <f t="shared" si="61"/>
        <v>martes-05</v>
      </c>
      <c r="L997">
        <f t="shared" si="62"/>
        <v>2023</v>
      </c>
      <c r="M997" s="2" t="str">
        <f t="shared" si="63"/>
        <v>T2-2023</v>
      </c>
    </row>
    <row r="998" spans="1:13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 t="str">
        <f t="shared" si="60"/>
        <v>60+</v>
      </c>
      <c r="K998" t="str">
        <f t="shared" si="61"/>
        <v>viernes-11</v>
      </c>
      <c r="L998">
        <f t="shared" si="62"/>
        <v>2023</v>
      </c>
      <c r="M998" s="2" t="str">
        <f t="shared" si="63"/>
        <v>T4-2023</v>
      </c>
    </row>
    <row r="999" spans="1:13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 t="str">
        <f t="shared" si="60"/>
        <v>60+</v>
      </c>
      <c r="K999" t="str">
        <f t="shared" si="61"/>
        <v>domingo-10</v>
      </c>
      <c r="L999">
        <f t="shared" si="62"/>
        <v>2023</v>
      </c>
      <c r="M999" s="2" t="str">
        <f t="shared" si="63"/>
        <v>T4-2023</v>
      </c>
    </row>
    <row r="1000" spans="1:13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 t="str">
        <f t="shared" si="60"/>
        <v>60+</v>
      </c>
      <c r="K1000" t="str">
        <f t="shared" si="61"/>
        <v>martes-12</v>
      </c>
      <c r="L1000">
        <f t="shared" si="62"/>
        <v>2023</v>
      </c>
      <c r="M1000" s="2" t="str">
        <f t="shared" si="63"/>
        <v>T4-2023</v>
      </c>
    </row>
    <row r="1001" spans="1:13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 t="str">
        <f t="shared" si="60"/>
        <v>60+</v>
      </c>
      <c r="K1001" t="str">
        <f t="shared" si="61"/>
        <v>miércoles-04</v>
      </c>
      <c r="L1001">
        <f t="shared" si="62"/>
        <v>2023</v>
      </c>
      <c r="M1001" s="2" t="str">
        <f t="shared" si="63"/>
        <v>T2-2023</v>
      </c>
    </row>
    <row r="1003" spans="1:13" x14ac:dyDescent="0.25">
      <c r="B1003" s="1">
        <f>MIN(B2:B1001)</f>
        <v>44927</v>
      </c>
      <c r="C1003" cm="1">
        <f t="array" ref="C1003">SUM(1/COUNTIF(C2:C1001,C2:C1001))</f>
        <v>1000</v>
      </c>
    </row>
    <row r="1004" spans="1:13" x14ac:dyDescent="0.25">
      <c r="B1004" s="1">
        <f>MAX(B2:B1001)</f>
        <v>45292</v>
      </c>
    </row>
  </sheetData>
  <phoneticPr fontId="1" type="noConversion"/>
  <conditionalFormatting sqref="I2:I100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EEDE-E498-4673-B8D5-EF91800D80C8}">
  <dimension ref="A1:M1001"/>
  <sheetViews>
    <sheetView workbookViewId="0">
      <selection activeCell="D2" sqref="D2:D3"/>
    </sheetView>
  </sheetViews>
  <sheetFormatPr baseColWidth="10" defaultRowHeight="15" x14ac:dyDescent="0.25"/>
  <cols>
    <col min="2" max="2" width="11.42578125" style="1"/>
    <col min="12" max="13" width="11.7109375" bestFit="1" customWidth="1"/>
  </cols>
  <sheetData>
    <row r="1" spans="1:1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1017</v>
      </c>
      <c r="K1" t="s">
        <v>1018</v>
      </c>
      <c r="L1" t="s">
        <v>1019</v>
      </c>
      <c r="M1" t="s">
        <v>1020</v>
      </c>
    </row>
    <row r="2" spans="1:13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 t="str">
        <f>IF(D2&lt;30,"18-29",IF(D2&lt;45,"30-44",IF(D2&lt;60,"45-59","60+")))</f>
        <v>60+</v>
      </c>
      <c r="K2" t="str">
        <f>TEXT(B2,"AAAA-MM")</f>
        <v>viernes-11</v>
      </c>
      <c r="L2">
        <f>YEAR(B2)</f>
        <v>2023</v>
      </c>
      <c r="M2" t="str">
        <f>"T"&amp;INT((MONTH(B2)-1)/3+1)&amp;"-"&amp;YEAR(B2)</f>
        <v>T4-2023</v>
      </c>
    </row>
    <row r="3" spans="1:13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 t="str">
        <f t="shared" ref="J3:J66" si="0">IF(D3&lt;30,"18-29",IF(D3&lt;45,"30-44",IF(D3&lt;60,"45-59","60+")))</f>
        <v>60+</v>
      </c>
      <c r="K3" t="str">
        <f t="shared" ref="K3:K66" si="1">TEXT(B3,"AAAA-MM")</f>
        <v>lunes-02</v>
      </c>
      <c r="L3">
        <f t="shared" ref="L3:L66" si="2">YEAR(B3)</f>
        <v>2023</v>
      </c>
      <c r="M3" t="str">
        <f t="shared" ref="M3:M66" si="3">"T"&amp;INT((MONTH(B3)-1)/3+1)&amp;"-"&amp;YEAR(B3)</f>
        <v>T1-2023</v>
      </c>
    </row>
    <row r="4" spans="1:13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 t="str">
        <f t="shared" si="0"/>
        <v>60+</v>
      </c>
      <c r="K4" t="str">
        <f t="shared" si="1"/>
        <v>viernes-01</v>
      </c>
      <c r="L4">
        <f t="shared" si="2"/>
        <v>2023</v>
      </c>
      <c r="M4" t="str">
        <f t="shared" si="3"/>
        <v>T1-2023</v>
      </c>
    </row>
    <row r="5" spans="1:13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 t="str">
        <f t="shared" si="0"/>
        <v>60+</v>
      </c>
      <c r="K5" t="str">
        <f t="shared" si="1"/>
        <v>domingo-05</v>
      </c>
      <c r="L5">
        <f t="shared" si="2"/>
        <v>2023</v>
      </c>
      <c r="M5" t="str">
        <f t="shared" si="3"/>
        <v>T2-2023</v>
      </c>
    </row>
    <row r="6" spans="1:13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 t="str">
        <f t="shared" si="0"/>
        <v>60+</v>
      </c>
      <c r="K6" t="str">
        <f t="shared" si="1"/>
        <v>sábado-05</v>
      </c>
      <c r="L6">
        <f t="shared" si="2"/>
        <v>2023</v>
      </c>
      <c r="M6" t="str">
        <f t="shared" si="3"/>
        <v>T2-2023</v>
      </c>
    </row>
    <row r="7" spans="1:13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 t="str">
        <f t="shared" si="0"/>
        <v>60+</v>
      </c>
      <c r="K7" t="str">
        <f t="shared" si="1"/>
        <v>martes-04</v>
      </c>
      <c r="L7">
        <f t="shared" si="2"/>
        <v>2023</v>
      </c>
      <c r="M7" t="str">
        <f t="shared" si="3"/>
        <v>T2-2023</v>
      </c>
    </row>
    <row r="8" spans="1:13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 t="str">
        <f t="shared" si="0"/>
        <v>60+</v>
      </c>
      <c r="K8" t="str">
        <f t="shared" si="1"/>
        <v>lunes-03</v>
      </c>
      <c r="L8">
        <f t="shared" si="2"/>
        <v>2023</v>
      </c>
      <c r="M8" t="str">
        <f t="shared" si="3"/>
        <v>T1-2023</v>
      </c>
    </row>
    <row r="9" spans="1:13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 t="str">
        <f t="shared" si="0"/>
        <v>60+</v>
      </c>
      <c r="K9" t="str">
        <f t="shared" si="1"/>
        <v>miércoles-02</v>
      </c>
      <c r="L9">
        <f t="shared" si="2"/>
        <v>2023</v>
      </c>
      <c r="M9" t="str">
        <f t="shared" si="3"/>
        <v>T1-2023</v>
      </c>
    </row>
    <row r="10" spans="1:13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 t="str">
        <f t="shared" si="0"/>
        <v>60+</v>
      </c>
      <c r="K10" t="str">
        <f t="shared" si="1"/>
        <v>miércoles-12</v>
      </c>
      <c r="L10">
        <f t="shared" si="2"/>
        <v>2023</v>
      </c>
      <c r="M10" t="str">
        <f t="shared" si="3"/>
        <v>T4-2023</v>
      </c>
    </row>
    <row r="11" spans="1:13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 t="str">
        <f t="shared" si="0"/>
        <v>60+</v>
      </c>
      <c r="K11" t="str">
        <f t="shared" si="1"/>
        <v>sábado-10</v>
      </c>
      <c r="L11">
        <f t="shared" si="2"/>
        <v>2023</v>
      </c>
      <c r="M11" t="str">
        <f t="shared" si="3"/>
        <v>T4-2023</v>
      </c>
    </row>
    <row r="12" spans="1:13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 t="str">
        <f t="shared" si="0"/>
        <v>60+</v>
      </c>
      <c r="K12" t="str">
        <f t="shared" si="1"/>
        <v>martes-02</v>
      </c>
      <c r="L12">
        <f t="shared" si="2"/>
        <v>2023</v>
      </c>
      <c r="M12" t="str">
        <f t="shared" si="3"/>
        <v>T1-2023</v>
      </c>
    </row>
    <row r="13" spans="1:13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 t="str">
        <f t="shared" si="0"/>
        <v>60+</v>
      </c>
      <c r="K13" t="str">
        <f t="shared" si="1"/>
        <v>lunes-10</v>
      </c>
      <c r="L13">
        <f t="shared" si="2"/>
        <v>2023</v>
      </c>
      <c r="M13" t="str">
        <f t="shared" si="3"/>
        <v>T4-2023</v>
      </c>
    </row>
    <row r="14" spans="1:13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 t="str">
        <f t="shared" si="0"/>
        <v>60+</v>
      </c>
      <c r="K14" t="str">
        <f t="shared" si="1"/>
        <v>sábado-08</v>
      </c>
      <c r="L14">
        <f t="shared" si="2"/>
        <v>2023</v>
      </c>
      <c r="M14" t="str">
        <f t="shared" si="3"/>
        <v>T3-2023</v>
      </c>
    </row>
    <row r="15" spans="1:13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 t="str">
        <f t="shared" si="0"/>
        <v>60+</v>
      </c>
      <c r="K15" t="str">
        <f t="shared" si="1"/>
        <v>martes-01</v>
      </c>
      <c r="L15">
        <f t="shared" si="2"/>
        <v>2023</v>
      </c>
      <c r="M15" t="str">
        <f t="shared" si="3"/>
        <v>T1-2023</v>
      </c>
    </row>
    <row r="16" spans="1:13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 t="str">
        <f t="shared" si="0"/>
        <v>60+</v>
      </c>
      <c r="K16" t="str">
        <f t="shared" si="1"/>
        <v>lunes-01</v>
      </c>
      <c r="L16">
        <f t="shared" si="2"/>
        <v>2023</v>
      </c>
      <c r="M16" t="str">
        <f t="shared" si="3"/>
        <v>T1-2023</v>
      </c>
    </row>
    <row r="17" spans="1:13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 t="str">
        <f t="shared" si="0"/>
        <v>60+</v>
      </c>
      <c r="K17" t="str">
        <f t="shared" si="1"/>
        <v>viernes-02</v>
      </c>
      <c r="L17">
        <f t="shared" si="2"/>
        <v>2023</v>
      </c>
      <c r="M17" t="str">
        <f t="shared" si="3"/>
        <v>T1-2023</v>
      </c>
    </row>
    <row r="18" spans="1:13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 t="str">
        <f t="shared" si="0"/>
        <v>60+</v>
      </c>
      <c r="K18" t="str">
        <f t="shared" si="1"/>
        <v>sábado-04</v>
      </c>
      <c r="L18">
        <f t="shared" si="2"/>
        <v>2023</v>
      </c>
      <c r="M18" t="str">
        <f t="shared" si="3"/>
        <v>T2-2023</v>
      </c>
    </row>
    <row r="19" spans="1:13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 t="str">
        <f t="shared" si="0"/>
        <v>60+</v>
      </c>
      <c r="K19" t="str">
        <f t="shared" si="1"/>
        <v>domingo-04</v>
      </c>
      <c r="L19">
        <f t="shared" si="2"/>
        <v>2023</v>
      </c>
      <c r="M19" t="str">
        <f t="shared" si="3"/>
        <v>T2-2023</v>
      </c>
    </row>
    <row r="20" spans="1:13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 t="str">
        <f t="shared" si="0"/>
        <v>60+</v>
      </c>
      <c r="K20" t="str">
        <f t="shared" si="1"/>
        <v>sábado-09</v>
      </c>
      <c r="L20">
        <f t="shared" si="2"/>
        <v>2023</v>
      </c>
      <c r="M20" t="str">
        <f t="shared" si="3"/>
        <v>T3-2023</v>
      </c>
    </row>
    <row r="21" spans="1:13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 t="str">
        <f t="shared" si="0"/>
        <v>60+</v>
      </c>
      <c r="K21" t="str">
        <f t="shared" si="1"/>
        <v>domingo-11</v>
      </c>
      <c r="L21">
        <f t="shared" si="2"/>
        <v>2023</v>
      </c>
      <c r="M21" t="str">
        <f t="shared" si="3"/>
        <v>T4-2023</v>
      </c>
    </row>
    <row r="22" spans="1:13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 t="str">
        <f t="shared" si="0"/>
        <v>60+</v>
      </c>
      <c r="K22" t="str">
        <f t="shared" si="1"/>
        <v>sábado-01</v>
      </c>
      <c r="L22">
        <f t="shared" si="2"/>
        <v>2023</v>
      </c>
      <c r="M22" t="str">
        <f t="shared" si="3"/>
        <v>T1-2023</v>
      </c>
    </row>
    <row r="23" spans="1:13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 t="str">
        <f t="shared" si="0"/>
        <v>60+</v>
      </c>
      <c r="K23" t="str">
        <f t="shared" si="1"/>
        <v>domingo-10</v>
      </c>
      <c r="L23">
        <f t="shared" si="2"/>
        <v>2023</v>
      </c>
      <c r="M23" t="str">
        <f t="shared" si="3"/>
        <v>T4-2023</v>
      </c>
    </row>
    <row r="24" spans="1:13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 t="str">
        <f t="shared" si="0"/>
        <v>60+</v>
      </c>
      <c r="K24" t="str">
        <f t="shared" si="1"/>
        <v>miércoles-04</v>
      </c>
      <c r="L24">
        <f t="shared" si="2"/>
        <v>2023</v>
      </c>
      <c r="M24" t="str">
        <f t="shared" si="3"/>
        <v>T2-2023</v>
      </c>
    </row>
    <row r="25" spans="1:13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 t="str">
        <f t="shared" si="0"/>
        <v>60+</v>
      </c>
      <c r="K25" t="str">
        <f t="shared" si="1"/>
        <v>miércoles-11</v>
      </c>
      <c r="L25">
        <f t="shared" si="2"/>
        <v>2023</v>
      </c>
      <c r="M25" t="str">
        <f t="shared" si="3"/>
        <v>T4-2023</v>
      </c>
    </row>
    <row r="26" spans="1:13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 t="str">
        <f t="shared" si="0"/>
        <v>60+</v>
      </c>
      <c r="K26" t="str">
        <f t="shared" si="1"/>
        <v>martes-12</v>
      </c>
      <c r="L26">
        <f t="shared" si="2"/>
        <v>2023</v>
      </c>
      <c r="M26" t="str">
        <f t="shared" si="3"/>
        <v>T4-2023</v>
      </c>
    </row>
    <row r="27" spans="1:13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 t="str">
        <f t="shared" si="0"/>
        <v>60+</v>
      </c>
      <c r="K27" t="str">
        <f t="shared" si="1"/>
        <v>sábado-10</v>
      </c>
      <c r="L27">
        <f t="shared" si="2"/>
        <v>2023</v>
      </c>
      <c r="M27" t="str">
        <f t="shared" si="3"/>
        <v>T4-2023</v>
      </c>
    </row>
    <row r="28" spans="1:13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 t="str">
        <f t="shared" si="0"/>
        <v>60+</v>
      </c>
      <c r="K28" t="str">
        <f t="shared" si="1"/>
        <v>jueves-08</v>
      </c>
      <c r="L28">
        <f t="shared" si="2"/>
        <v>2023</v>
      </c>
      <c r="M28" t="str">
        <f t="shared" si="3"/>
        <v>T3-2023</v>
      </c>
    </row>
    <row r="29" spans="1:13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 t="str">
        <f t="shared" si="0"/>
        <v>60+</v>
      </c>
      <c r="K29" t="str">
        <f t="shared" si="1"/>
        <v>domingo-04</v>
      </c>
      <c r="L29">
        <f t="shared" si="2"/>
        <v>2023</v>
      </c>
      <c r="M29" t="str">
        <f t="shared" si="3"/>
        <v>T2-2023</v>
      </c>
    </row>
    <row r="30" spans="1:13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 t="str">
        <f t="shared" si="0"/>
        <v>60+</v>
      </c>
      <c r="K30" t="str">
        <f t="shared" si="1"/>
        <v>viernes-08</v>
      </c>
      <c r="L30">
        <f t="shared" si="2"/>
        <v>2023</v>
      </c>
      <c r="M30" t="str">
        <f t="shared" si="3"/>
        <v>T3-2023</v>
      </c>
    </row>
    <row r="31" spans="1:13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 t="str">
        <f t="shared" si="0"/>
        <v>60+</v>
      </c>
      <c r="K31" t="str">
        <f t="shared" si="1"/>
        <v>domingo-10</v>
      </c>
      <c r="L31">
        <f t="shared" si="2"/>
        <v>2023</v>
      </c>
      <c r="M31" t="str">
        <f t="shared" si="3"/>
        <v>T4-2023</v>
      </c>
    </row>
    <row r="32" spans="1:13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 t="str">
        <f t="shared" si="0"/>
        <v>60+</v>
      </c>
      <c r="K32" t="str">
        <f t="shared" si="1"/>
        <v>martes-05</v>
      </c>
      <c r="L32">
        <f t="shared" si="2"/>
        <v>2023</v>
      </c>
      <c r="M32" t="str">
        <f t="shared" si="3"/>
        <v>T2-2023</v>
      </c>
    </row>
    <row r="33" spans="1:13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 t="str">
        <f t="shared" si="0"/>
        <v>60+</v>
      </c>
      <c r="K33" t="str">
        <f t="shared" si="1"/>
        <v>miércoles-01</v>
      </c>
      <c r="L33">
        <f t="shared" si="2"/>
        <v>2023</v>
      </c>
      <c r="M33" t="str">
        <f t="shared" si="3"/>
        <v>T1-2023</v>
      </c>
    </row>
    <row r="34" spans="1:13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 t="str">
        <f t="shared" si="0"/>
        <v>60+</v>
      </c>
      <c r="K34" t="str">
        <f t="shared" si="1"/>
        <v>jueves-03</v>
      </c>
      <c r="L34">
        <f t="shared" si="2"/>
        <v>2023</v>
      </c>
      <c r="M34" t="str">
        <f t="shared" si="3"/>
        <v>T1-2023</v>
      </c>
    </row>
    <row r="35" spans="1:13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 t="str">
        <f t="shared" si="0"/>
        <v>60+</v>
      </c>
      <c r="K35" t="str">
        <f t="shared" si="1"/>
        <v>domingo-12</v>
      </c>
      <c r="L35">
        <f t="shared" si="2"/>
        <v>2023</v>
      </c>
      <c r="M35" t="str">
        <f t="shared" si="3"/>
        <v>T4-2023</v>
      </c>
    </row>
    <row r="36" spans="1:13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 t="str">
        <f t="shared" si="0"/>
        <v>60+</v>
      </c>
      <c r="K36" t="str">
        <f t="shared" si="1"/>
        <v>sábado-08</v>
      </c>
      <c r="L36">
        <f t="shared" si="2"/>
        <v>2023</v>
      </c>
      <c r="M36" t="str">
        <f t="shared" si="3"/>
        <v>T3-2023</v>
      </c>
    </row>
    <row r="37" spans="1:13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 t="str">
        <f t="shared" si="0"/>
        <v>60+</v>
      </c>
      <c r="K37" t="str">
        <f t="shared" si="1"/>
        <v>sábado-06</v>
      </c>
      <c r="L37">
        <f t="shared" si="2"/>
        <v>2023</v>
      </c>
      <c r="M37" t="str">
        <f t="shared" si="3"/>
        <v>T2-2023</v>
      </c>
    </row>
    <row r="38" spans="1:13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 t="str">
        <f t="shared" si="0"/>
        <v>60+</v>
      </c>
      <c r="K38" t="str">
        <f t="shared" si="1"/>
        <v>martes-05</v>
      </c>
      <c r="L38">
        <f t="shared" si="2"/>
        <v>2023</v>
      </c>
      <c r="M38" t="str">
        <f t="shared" si="3"/>
        <v>T2-2023</v>
      </c>
    </row>
    <row r="39" spans="1:13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 t="str">
        <f t="shared" si="0"/>
        <v>60+</v>
      </c>
      <c r="K39" t="str">
        <f t="shared" si="1"/>
        <v>martes-03</v>
      </c>
      <c r="L39">
        <f t="shared" si="2"/>
        <v>2023</v>
      </c>
      <c r="M39" t="str">
        <f t="shared" si="3"/>
        <v>T1-2023</v>
      </c>
    </row>
    <row r="40" spans="1:13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 t="str">
        <f t="shared" si="0"/>
        <v>60+</v>
      </c>
      <c r="K40" t="str">
        <f t="shared" si="1"/>
        <v>viernes-04</v>
      </c>
      <c r="L40">
        <f t="shared" si="2"/>
        <v>2023</v>
      </c>
      <c r="M40" t="str">
        <f t="shared" si="3"/>
        <v>T2-2023</v>
      </c>
    </row>
    <row r="41" spans="1:13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 t="str">
        <f t="shared" si="0"/>
        <v>60+</v>
      </c>
      <c r="K41" t="str">
        <f t="shared" si="1"/>
        <v>jueves-06</v>
      </c>
      <c r="L41">
        <f t="shared" si="2"/>
        <v>2023</v>
      </c>
      <c r="M41" t="str">
        <f t="shared" si="3"/>
        <v>T2-2023</v>
      </c>
    </row>
    <row r="42" spans="1:13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 t="str">
        <f t="shared" si="0"/>
        <v>60+</v>
      </c>
      <c r="K42" t="str">
        <f t="shared" si="1"/>
        <v>miércoles-02</v>
      </c>
      <c r="L42">
        <f t="shared" si="2"/>
        <v>2023</v>
      </c>
      <c r="M42" t="str">
        <f t="shared" si="3"/>
        <v>T1-2023</v>
      </c>
    </row>
    <row r="43" spans="1:13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 t="str">
        <f t="shared" si="0"/>
        <v>60+</v>
      </c>
      <c r="K43" t="str">
        <f t="shared" si="1"/>
        <v>viernes-02</v>
      </c>
      <c r="L43">
        <f t="shared" si="2"/>
        <v>2023</v>
      </c>
      <c r="M43" t="str">
        <f t="shared" si="3"/>
        <v>T1-2023</v>
      </c>
    </row>
    <row r="44" spans="1:13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 t="str">
        <f t="shared" si="0"/>
        <v>60+</v>
      </c>
      <c r="K44" t="str">
        <f t="shared" si="1"/>
        <v>viernes-07</v>
      </c>
      <c r="L44">
        <f t="shared" si="2"/>
        <v>2023</v>
      </c>
      <c r="M44" t="str">
        <f t="shared" si="3"/>
        <v>T3-2023</v>
      </c>
    </row>
    <row r="45" spans="1:13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 t="str">
        <f t="shared" si="0"/>
        <v>60+</v>
      </c>
      <c r="K45" t="str">
        <f t="shared" si="1"/>
        <v>domingo-02</v>
      </c>
      <c r="L45">
        <f t="shared" si="2"/>
        <v>2023</v>
      </c>
      <c r="M45" t="str">
        <f t="shared" si="3"/>
        <v>T1-2023</v>
      </c>
    </row>
    <row r="46" spans="1:13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 t="str">
        <f t="shared" si="0"/>
        <v>60+</v>
      </c>
      <c r="K46" t="str">
        <f t="shared" si="1"/>
        <v>lunes-07</v>
      </c>
      <c r="L46">
        <f t="shared" si="2"/>
        <v>2023</v>
      </c>
      <c r="M46" t="str">
        <f t="shared" si="3"/>
        <v>T3-2023</v>
      </c>
    </row>
    <row r="47" spans="1:13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 t="str">
        <f t="shared" si="0"/>
        <v>60+</v>
      </c>
      <c r="K47" t="str">
        <f t="shared" si="1"/>
        <v>lunes-06</v>
      </c>
      <c r="L47">
        <f t="shared" si="2"/>
        <v>2023</v>
      </c>
      <c r="M47" t="str">
        <f t="shared" si="3"/>
        <v>T2-2023</v>
      </c>
    </row>
    <row r="48" spans="1:13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 t="str">
        <f t="shared" si="0"/>
        <v>60+</v>
      </c>
      <c r="K48" t="str">
        <f t="shared" si="1"/>
        <v>lunes-11</v>
      </c>
      <c r="L48">
        <f t="shared" si="2"/>
        <v>2023</v>
      </c>
      <c r="M48" t="str">
        <f t="shared" si="3"/>
        <v>T4-2023</v>
      </c>
    </row>
    <row r="49" spans="1:13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 t="str">
        <f t="shared" si="0"/>
        <v>60+</v>
      </c>
      <c r="K49" t="str">
        <f t="shared" si="1"/>
        <v>martes-05</v>
      </c>
      <c r="L49">
        <f t="shared" si="2"/>
        <v>2023</v>
      </c>
      <c r="M49" t="str">
        <f t="shared" si="3"/>
        <v>T2-2023</v>
      </c>
    </row>
    <row r="50" spans="1:13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 t="str">
        <f t="shared" si="0"/>
        <v>60+</v>
      </c>
      <c r="K50" t="str">
        <f t="shared" si="1"/>
        <v>lunes-01</v>
      </c>
      <c r="L50">
        <f t="shared" si="2"/>
        <v>2023</v>
      </c>
      <c r="M50" t="str">
        <f t="shared" si="3"/>
        <v>T1-2023</v>
      </c>
    </row>
    <row r="51" spans="1:13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 t="str">
        <f t="shared" si="0"/>
        <v>60+</v>
      </c>
      <c r="K51" t="str">
        <f t="shared" si="1"/>
        <v>jueves-08</v>
      </c>
      <c r="L51">
        <f t="shared" si="2"/>
        <v>2023</v>
      </c>
      <c r="M51" t="str">
        <f t="shared" si="3"/>
        <v>T3-2023</v>
      </c>
    </row>
    <row r="52" spans="1:13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 t="str">
        <f t="shared" si="0"/>
        <v>60+</v>
      </c>
      <c r="K52" t="str">
        <f t="shared" si="1"/>
        <v>lunes-10</v>
      </c>
      <c r="L52">
        <f t="shared" si="2"/>
        <v>2023</v>
      </c>
      <c r="M52" t="str">
        <f t="shared" si="3"/>
        <v>T4-2023</v>
      </c>
    </row>
    <row r="53" spans="1:13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 t="str">
        <f t="shared" si="0"/>
        <v>60+</v>
      </c>
      <c r="K53" t="str">
        <f t="shared" si="1"/>
        <v>domingo-03</v>
      </c>
      <c r="L53">
        <f t="shared" si="2"/>
        <v>2023</v>
      </c>
      <c r="M53" t="str">
        <f t="shared" si="3"/>
        <v>T1-2023</v>
      </c>
    </row>
    <row r="54" spans="1:13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 t="str">
        <f t="shared" si="0"/>
        <v>60+</v>
      </c>
      <c r="K54" t="str">
        <f t="shared" si="1"/>
        <v>jueves-07</v>
      </c>
      <c r="L54">
        <f t="shared" si="2"/>
        <v>2023</v>
      </c>
      <c r="M54" t="str">
        <f t="shared" si="3"/>
        <v>T3-2023</v>
      </c>
    </row>
    <row r="55" spans="1:13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 t="str">
        <f t="shared" si="0"/>
        <v>60+</v>
      </c>
      <c r="K55" t="str">
        <f t="shared" si="1"/>
        <v>viernes-02</v>
      </c>
      <c r="L55">
        <f t="shared" si="2"/>
        <v>2023</v>
      </c>
      <c r="M55" t="str">
        <f t="shared" si="3"/>
        <v>T1-2023</v>
      </c>
    </row>
    <row r="56" spans="1:13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 t="str">
        <f t="shared" si="0"/>
        <v>60+</v>
      </c>
      <c r="K56" t="str">
        <f t="shared" si="1"/>
        <v>martes-10</v>
      </c>
      <c r="L56">
        <f t="shared" si="2"/>
        <v>2023</v>
      </c>
      <c r="M56" t="str">
        <f t="shared" si="3"/>
        <v>T4-2023</v>
      </c>
    </row>
    <row r="57" spans="1:13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 t="str">
        <f t="shared" si="0"/>
        <v>60+</v>
      </c>
      <c r="K57" t="str">
        <f t="shared" si="1"/>
        <v>miércoles-05</v>
      </c>
      <c r="L57">
        <f t="shared" si="2"/>
        <v>2023</v>
      </c>
      <c r="M57" t="str">
        <f t="shared" si="3"/>
        <v>T2-2023</v>
      </c>
    </row>
    <row r="58" spans="1:13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 t="str">
        <f t="shared" si="0"/>
        <v>60+</v>
      </c>
      <c r="K58" t="str">
        <f t="shared" si="1"/>
        <v>sábado-11</v>
      </c>
      <c r="L58">
        <f t="shared" si="2"/>
        <v>2023</v>
      </c>
      <c r="M58" t="str">
        <f t="shared" si="3"/>
        <v>T4-2023</v>
      </c>
    </row>
    <row r="59" spans="1:13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 t="str">
        <f t="shared" si="0"/>
        <v>60+</v>
      </c>
      <c r="K59" t="str">
        <f t="shared" si="1"/>
        <v>lunes-11</v>
      </c>
      <c r="L59">
        <f t="shared" si="2"/>
        <v>2023</v>
      </c>
      <c r="M59" t="str">
        <f t="shared" si="3"/>
        <v>T4-2023</v>
      </c>
    </row>
    <row r="60" spans="1:13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 t="str">
        <f t="shared" si="0"/>
        <v>60+</v>
      </c>
      <c r="K60" t="str">
        <f t="shared" si="1"/>
        <v>miércoles-07</v>
      </c>
      <c r="L60">
        <f t="shared" si="2"/>
        <v>2023</v>
      </c>
      <c r="M60" t="str">
        <f t="shared" si="3"/>
        <v>T3-2023</v>
      </c>
    </row>
    <row r="61" spans="1:13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 t="str">
        <f t="shared" si="0"/>
        <v>60+</v>
      </c>
      <c r="K61" t="str">
        <f t="shared" si="1"/>
        <v>lunes-10</v>
      </c>
      <c r="L61">
        <f t="shared" si="2"/>
        <v>2023</v>
      </c>
      <c r="M61" t="str">
        <f t="shared" si="3"/>
        <v>T4-2023</v>
      </c>
    </row>
    <row r="62" spans="1:13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 t="str">
        <f t="shared" si="0"/>
        <v>60+</v>
      </c>
      <c r="K62" t="str">
        <f t="shared" si="1"/>
        <v>domingo-04</v>
      </c>
      <c r="L62">
        <f t="shared" si="2"/>
        <v>2023</v>
      </c>
      <c r="M62" t="str">
        <f t="shared" si="3"/>
        <v>T2-2023</v>
      </c>
    </row>
    <row r="63" spans="1:13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 t="str">
        <f t="shared" si="0"/>
        <v>60+</v>
      </c>
      <c r="K63" t="str">
        <f t="shared" si="1"/>
        <v>miércoles-12</v>
      </c>
      <c r="L63">
        <f t="shared" si="2"/>
        <v>2023</v>
      </c>
      <c r="M63" t="str">
        <f t="shared" si="3"/>
        <v>T4-2023</v>
      </c>
    </row>
    <row r="64" spans="1:13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 t="str">
        <f t="shared" si="0"/>
        <v>60+</v>
      </c>
      <c r="K64" t="str">
        <f t="shared" si="1"/>
        <v>domingo-02</v>
      </c>
      <c r="L64">
        <f t="shared" si="2"/>
        <v>2023</v>
      </c>
      <c r="M64" t="str">
        <f t="shared" si="3"/>
        <v>T1-2023</v>
      </c>
    </row>
    <row r="65" spans="1:13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 t="str">
        <f t="shared" si="0"/>
        <v>60+</v>
      </c>
      <c r="K65" t="str">
        <f t="shared" si="1"/>
        <v>martes-01</v>
      </c>
      <c r="L65">
        <f t="shared" si="2"/>
        <v>2023</v>
      </c>
      <c r="M65" t="str">
        <f t="shared" si="3"/>
        <v>T1-2023</v>
      </c>
    </row>
    <row r="66" spans="1:13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 t="str">
        <f t="shared" si="0"/>
        <v>60+</v>
      </c>
      <c r="K66" t="str">
        <f t="shared" si="1"/>
        <v>martes-12</v>
      </c>
      <c r="L66">
        <f t="shared" si="2"/>
        <v>2023</v>
      </c>
      <c r="M66" t="str">
        <f t="shared" si="3"/>
        <v>T4-2023</v>
      </c>
    </row>
    <row r="67" spans="1:13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 t="str">
        <f t="shared" ref="J67:J130" si="4">IF(D67&lt;30,"18-29",IF(D67&lt;45,"30-44",IF(D67&lt;60,"45-59","60+")))</f>
        <v>60+</v>
      </c>
      <c r="K67" t="str">
        <f t="shared" ref="K67:K130" si="5">TEXT(B67,"AAAA-MM")</f>
        <v>jueves-04</v>
      </c>
      <c r="L67">
        <f t="shared" ref="L67:L130" si="6">YEAR(B67)</f>
        <v>2023</v>
      </c>
      <c r="M67" t="str">
        <f t="shared" ref="M67:M130" si="7">"T"&amp;INT((MONTH(B67)-1)/3+1)&amp;"-"&amp;YEAR(B67)</f>
        <v>T2-2023</v>
      </c>
    </row>
    <row r="68" spans="1:13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 t="str">
        <f t="shared" si="4"/>
        <v>60+</v>
      </c>
      <c r="K68" t="str">
        <f t="shared" si="5"/>
        <v>lunes-05</v>
      </c>
      <c r="L68">
        <f t="shared" si="6"/>
        <v>2023</v>
      </c>
      <c r="M68" t="str">
        <f t="shared" si="7"/>
        <v>T2-2023</v>
      </c>
    </row>
    <row r="69" spans="1:13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 t="str">
        <f t="shared" si="4"/>
        <v>60+</v>
      </c>
      <c r="K69" t="str">
        <f t="shared" si="5"/>
        <v>viernes-02</v>
      </c>
      <c r="L69">
        <f t="shared" si="6"/>
        <v>2023</v>
      </c>
      <c r="M69" t="str">
        <f t="shared" si="7"/>
        <v>T1-2023</v>
      </c>
    </row>
    <row r="70" spans="1:13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 t="str">
        <f t="shared" si="4"/>
        <v>60+</v>
      </c>
      <c r="K70" t="str">
        <f t="shared" si="5"/>
        <v>domingo-04</v>
      </c>
      <c r="L70">
        <f t="shared" si="6"/>
        <v>2023</v>
      </c>
      <c r="M70" t="str">
        <f t="shared" si="7"/>
        <v>T2-2023</v>
      </c>
    </row>
    <row r="71" spans="1:13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 t="str">
        <f t="shared" si="4"/>
        <v>60+</v>
      </c>
      <c r="K71" t="str">
        <f t="shared" si="5"/>
        <v>martes-02</v>
      </c>
      <c r="L71">
        <f t="shared" si="6"/>
        <v>2023</v>
      </c>
      <c r="M71" t="str">
        <f t="shared" si="7"/>
        <v>T1-2023</v>
      </c>
    </row>
    <row r="72" spans="1:13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 t="str">
        <f t="shared" si="4"/>
        <v>60+</v>
      </c>
      <c r="K72" t="str">
        <f t="shared" si="5"/>
        <v>viernes-07</v>
      </c>
      <c r="L72">
        <f t="shared" si="6"/>
        <v>2023</v>
      </c>
      <c r="M72" t="str">
        <f t="shared" si="7"/>
        <v>T3-2023</v>
      </c>
    </row>
    <row r="73" spans="1:13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 t="str">
        <f t="shared" si="4"/>
        <v>60+</v>
      </c>
      <c r="K73" t="str">
        <f t="shared" si="5"/>
        <v>martes-05</v>
      </c>
      <c r="L73">
        <f t="shared" si="6"/>
        <v>2023</v>
      </c>
      <c r="M73" t="str">
        <f t="shared" si="7"/>
        <v>T2-2023</v>
      </c>
    </row>
    <row r="74" spans="1:13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 t="str">
        <f t="shared" si="4"/>
        <v>60+</v>
      </c>
      <c r="K74" t="str">
        <f t="shared" si="5"/>
        <v>lunes-08</v>
      </c>
      <c r="L74">
        <f t="shared" si="6"/>
        <v>2023</v>
      </c>
      <c r="M74" t="str">
        <f t="shared" si="7"/>
        <v>T3-2023</v>
      </c>
    </row>
    <row r="75" spans="1:13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 t="str">
        <f t="shared" si="4"/>
        <v>60+</v>
      </c>
      <c r="K75" t="str">
        <f t="shared" si="5"/>
        <v>miércoles-11</v>
      </c>
      <c r="L75">
        <f t="shared" si="6"/>
        <v>2023</v>
      </c>
      <c r="M75" t="str">
        <f t="shared" si="7"/>
        <v>T4-2023</v>
      </c>
    </row>
    <row r="76" spans="1:13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 t="str">
        <f t="shared" si="4"/>
        <v>60+</v>
      </c>
      <c r="K76" t="str">
        <f t="shared" si="5"/>
        <v>jueves-07</v>
      </c>
      <c r="L76">
        <f t="shared" si="6"/>
        <v>2023</v>
      </c>
      <c r="M76" t="str">
        <f t="shared" si="7"/>
        <v>T3-2023</v>
      </c>
    </row>
    <row r="77" spans="1:13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 t="str">
        <f t="shared" si="4"/>
        <v>60+</v>
      </c>
      <c r="K77" t="str">
        <f t="shared" si="5"/>
        <v>sábado-03</v>
      </c>
      <c r="L77">
        <f t="shared" si="6"/>
        <v>2023</v>
      </c>
      <c r="M77" t="str">
        <f t="shared" si="7"/>
        <v>T1-2023</v>
      </c>
    </row>
    <row r="78" spans="1:13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 t="str">
        <f t="shared" si="4"/>
        <v>60+</v>
      </c>
      <c r="K78" t="str">
        <f t="shared" si="5"/>
        <v>domingo-07</v>
      </c>
      <c r="L78">
        <f t="shared" si="6"/>
        <v>2023</v>
      </c>
      <c r="M78" t="str">
        <f t="shared" si="7"/>
        <v>T3-2023</v>
      </c>
    </row>
    <row r="79" spans="1:13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 t="str">
        <f t="shared" si="4"/>
        <v>60+</v>
      </c>
      <c r="K79" t="str">
        <f t="shared" si="5"/>
        <v>sábado-07</v>
      </c>
      <c r="L79">
        <f t="shared" si="6"/>
        <v>2023</v>
      </c>
      <c r="M79" t="str">
        <f t="shared" si="7"/>
        <v>T3-2023</v>
      </c>
    </row>
    <row r="80" spans="1:13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 t="str">
        <f t="shared" si="4"/>
        <v>60+</v>
      </c>
      <c r="K80" t="str">
        <f t="shared" si="5"/>
        <v>martes-04</v>
      </c>
      <c r="L80">
        <f t="shared" si="6"/>
        <v>2023</v>
      </c>
      <c r="M80" t="str">
        <f t="shared" si="7"/>
        <v>T2-2023</v>
      </c>
    </row>
    <row r="81" spans="1:13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 t="str">
        <f t="shared" si="4"/>
        <v>60+</v>
      </c>
      <c r="K81" t="str">
        <f t="shared" si="5"/>
        <v>domingo-12</v>
      </c>
      <c r="L81">
        <f t="shared" si="6"/>
        <v>2023</v>
      </c>
      <c r="M81" t="str">
        <f t="shared" si="7"/>
        <v>T4-2023</v>
      </c>
    </row>
    <row r="82" spans="1:13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 t="str">
        <f t="shared" si="4"/>
        <v>60+</v>
      </c>
      <c r="K82" t="str">
        <f t="shared" si="5"/>
        <v>miércoles-05</v>
      </c>
      <c r="L82">
        <f t="shared" si="6"/>
        <v>2023</v>
      </c>
      <c r="M82" t="str">
        <f t="shared" si="7"/>
        <v>T2-2023</v>
      </c>
    </row>
    <row r="83" spans="1:13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 t="str">
        <f t="shared" si="4"/>
        <v>60+</v>
      </c>
      <c r="K83" t="str">
        <f t="shared" si="5"/>
        <v>martes-12</v>
      </c>
      <c r="L83">
        <f t="shared" si="6"/>
        <v>2023</v>
      </c>
      <c r="M83" t="str">
        <f t="shared" si="7"/>
        <v>T4-2023</v>
      </c>
    </row>
    <row r="84" spans="1:13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 t="str">
        <f t="shared" si="4"/>
        <v>60+</v>
      </c>
      <c r="K84" t="str">
        <f t="shared" si="5"/>
        <v>sábado-12</v>
      </c>
      <c r="L84">
        <f t="shared" si="6"/>
        <v>2023</v>
      </c>
      <c r="M84" t="str">
        <f t="shared" si="7"/>
        <v>T4-2023</v>
      </c>
    </row>
    <row r="85" spans="1:13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 t="str">
        <f t="shared" si="4"/>
        <v>60+</v>
      </c>
      <c r="K85" t="str">
        <f t="shared" si="5"/>
        <v>martes-11</v>
      </c>
      <c r="L85">
        <f t="shared" si="6"/>
        <v>2023</v>
      </c>
      <c r="M85" t="str">
        <f t="shared" si="7"/>
        <v>T4-2023</v>
      </c>
    </row>
    <row r="86" spans="1:13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 t="str">
        <f t="shared" si="4"/>
        <v>60+</v>
      </c>
      <c r="K86" t="str">
        <f t="shared" si="5"/>
        <v>lunes-02</v>
      </c>
      <c r="L86">
        <f t="shared" si="6"/>
        <v>2023</v>
      </c>
      <c r="M86" t="str">
        <f t="shared" si="7"/>
        <v>T1-2023</v>
      </c>
    </row>
    <row r="87" spans="1:13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 t="str">
        <f t="shared" si="4"/>
        <v>60+</v>
      </c>
      <c r="K87" t="str">
        <f t="shared" si="5"/>
        <v>miércoles-11</v>
      </c>
      <c r="L87">
        <f t="shared" si="6"/>
        <v>2023</v>
      </c>
      <c r="M87" t="str">
        <f t="shared" si="7"/>
        <v>T4-2023</v>
      </c>
    </row>
    <row r="88" spans="1:13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 t="str">
        <f t="shared" si="4"/>
        <v>60+</v>
      </c>
      <c r="K88" t="str">
        <f t="shared" si="5"/>
        <v>miércoles-11</v>
      </c>
      <c r="L88">
        <f t="shared" si="6"/>
        <v>2023</v>
      </c>
      <c r="M88" t="str">
        <f t="shared" si="7"/>
        <v>T4-2023</v>
      </c>
    </row>
    <row r="89" spans="1:13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 t="str">
        <f t="shared" si="4"/>
        <v>60+</v>
      </c>
      <c r="K89" t="str">
        <f t="shared" si="5"/>
        <v>miércoles-03</v>
      </c>
      <c r="L89">
        <f t="shared" si="6"/>
        <v>2023</v>
      </c>
      <c r="M89" t="str">
        <f t="shared" si="7"/>
        <v>T1-2023</v>
      </c>
    </row>
    <row r="90" spans="1:13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 t="str">
        <f t="shared" si="4"/>
        <v>60+</v>
      </c>
      <c r="K90" t="str">
        <f t="shared" si="5"/>
        <v>domingo-10</v>
      </c>
      <c r="L90">
        <f t="shared" si="6"/>
        <v>2023</v>
      </c>
      <c r="M90" t="str">
        <f t="shared" si="7"/>
        <v>T4-2023</v>
      </c>
    </row>
    <row r="91" spans="1:13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 t="str">
        <f t="shared" si="4"/>
        <v>60+</v>
      </c>
      <c r="K91" t="str">
        <f t="shared" si="5"/>
        <v>sábado-05</v>
      </c>
      <c r="L91">
        <f t="shared" si="6"/>
        <v>2023</v>
      </c>
      <c r="M91" t="str">
        <f t="shared" si="7"/>
        <v>T2-2023</v>
      </c>
    </row>
    <row r="92" spans="1:13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 t="str">
        <f t="shared" si="4"/>
        <v>60+</v>
      </c>
      <c r="K92" t="str">
        <f t="shared" si="5"/>
        <v>sábado-03</v>
      </c>
      <c r="L92">
        <f t="shared" si="6"/>
        <v>2023</v>
      </c>
      <c r="M92" t="str">
        <f t="shared" si="7"/>
        <v>T1-2023</v>
      </c>
    </row>
    <row r="93" spans="1:13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 t="str">
        <f t="shared" si="4"/>
        <v>60+</v>
      </c>
      <c r="K93" t="str">
        <f t="shared" si="5"/>
        <v>viernes-08</v>
      </c>
      <c r="L93">
        <f t="shared" si="6"/>
        <v>2023</v>
      </c>
      <c r="M93" t="str">
        <f t="shared" si="7"/>
        <v>T3-2023</v>
      </c>
    </row>
    <row r="94" spans="1:13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 t="str">
        <f t="shared" si="4"/>
        <v>60+</v>
      </c>
      <c r="K94" t="str">
        <f t="shared" si="5"/>
        <v>viernes-07</v>
      </c>
      <c r="L94">
        <f t="shared" si="6"/>
        <v>2023</v>
      </c>
      <c r="M94" t="str">
        <f t="shared" si="7"/>
        <v>T3-2023</v>
      </c>
    </row>
    <row r="95" spans="1:13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 t="str">
        <f t="shared" si="4"/>
        <v>60+</v>
      </c>
      <c r="K95" t="str">
        <f t="shared" si="5"/>
        <v>viernes-05</v>
      </c>
      <c r="L95">
        <f t="shared" si="6"/>
        <v>2023</v>
      </c>
      <c r="M95" t="str">
        <f t="shared" si="7"/>
        <v>T2-2023</v>
      </c>
    </row>
    <row r="96" spans="1:13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 t="str">
        <f t="shared" si="4"/>
        <v>60+</v>
      </c>
      <c r="K96" t="str">
        <f t="shared" si="5"/>
        <v>viernes-11</v>
      </c>
      <c r="L96">
        <f t="shared" si="6"/>
        <v>2023</v>
      </c>
      <c r="M96" t="str">
        <f t="shared" si="7"/>
        <v>T4-2023</v>
      </c>
    </row>
    <row r="97" spans="1:13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 t="str">
        <f t="shared" si="4"/>
        <v>60+</v>
      </c>
      <c r="K97" t="str">
        <f t="shared" si="5"/>
        <v>martes-12</v>
      </c>
      <c r="L97">
        <f t="shared" si="6"/>
        <v>2023</v>
      </c>
      <c r="M97" t="str">
        <f t="shared" si="7"/>
        <v>T4-2023</v>
      </c>
    </row>
    <row r="98" spans="1:13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 t="str">
        <f t="shared" si="4"/>
        <v>60+</v>
      </c>
      <c r="K98" t="str">
        <f t="shared" si="5"/>
        <v>viernes-10</v>
      </c>
      <c r="L98">
        <f t="shared" si="6"/>
        <v>2023</v>
      </c>
      <c r="M98" t="str">
        <f t="shared" si="7"/>
        <v>T4-2023</v>
      </c>
    </row>
    <row r="99" spans="1:13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 t="str">
        <f t="shared" si="4"/>
        <v>60+</v>
      </c>
      <c r="K99" t="str">
        <f t="shared" si="5"/>
        <v>domingo-04</v>
      </c>
      <c r="L99">
        <f t="shared" si="6"/>
        <v>2023</v>
      </c>
      <c r="M99" t="str">
        <f t="shared" si="7"/>
        <v>T2-2023</v>
      </c>
    </row>
    <row r="100" spans="1:13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 t="str">
        <f t="shared" si="4"/>
        <v>60+</v>
      </c>
      <c r="K100" t="str">
        <f t="shared" si="5"/>
        <v>domingo-12</v>
      </c>
      <c r="L100">
        <f t="shared" si="6"/>
        <v>2023</v>
      </c>
      <c r="M100" t="str">
        <f t="shared" si="7"/>
        <v>T4-2023</v>
      </c>
    </row>
    <row r="101" spans="1:13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 t="str">
        <f t="shared" si="4"/>
        <v>60+</v>
      </c>
      <c r="K101" t="str">
        <f t="shared" si="5"/>
        <v>viernes-06</v>
      </c>
      <c r="L101">
        <f t="shared" si="6"/>
        <v>2023</v>
      </c>
      <c r="M101" t="str">
        <f t="shared" si="7"/>
        <v>T2-2023</v>
      </c>
    </row>
    <row r="102" spans="1:13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 t="str">
        <f t="shared" si="4"/>
        <v>60+</v>
      </c>
      <c r="K102" t="str">
        <f t="shared" si="5"/>
        <v>domingo-01</v>
      </c>
      <c r="L102">
        <f t="shared" si="6"/>
        <v>2023</v>
      </c>
      <c r="M102" t="str">
        <f t="shared" si="7"/>
        <v>T1-2023</v>
      </c>
    </row>
    <row r="103" spans="1:13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 t="str">
        <f t="shared" si="4"/>
        <v>60+</v>
      </c>
      <c r="K103" t="str">
        <f t="shared" si="5"/>
        <v>viernes-04</v>
      </c>
      <c r="L103">
        <f t="shared" si="6"/>
        <v>2023</v>
      </c>
      <c r="M103" t="str">
        <f t="shared" si="7"/>
        <v>T2-2023</v>
      </c>
    </row>
    <row r="104" spans="1:13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 t="str">
        <f t="shared" si="4"/>
        <v>60+</v>
      </c>
      <c r="K104" t="str">
        <f t="shared" si="5"/>
        <v>martes-01</v>
      </c>
      <c r="L104">
        <f t="shared" si="6"/>
        <v>2023</v>
      </c>
      <c r="M104" t="str">
        <f t="shared" si="7"/>
        <v>T1-2023</v>
      </c>
    </row>
    <row r="105" spans="1:13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 t="str">
        <f t="shared" si="4"/>
        <v>60+</v>
      </c>
      <c r="K105" t="str">
        <f t="shared" si="5"/>
        <v>domingo-06</v>
      </c>
      <c r="L105">
        <f t="shared" si="6"/>
        <v>2023</v>
      </c>
      <c r="M105" t="str">
        <f t="shared" si="7"/>
        <v>T2-2023</v>
      </c>
    </row>
    <row r="106" spans="1:13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 t="str">
        <f t="shared" si="4"/>
        <v>60+</v>
      </c>
      <c r="K106" t="str">
        <f t="shared" si="5"/>
        <v>martes-07</v>
      </c>
      <c r="L106">
        <f t="shared" si="6"/>
        <v>2023</v>
      </c>
      <c r="M106" t="str">
        <f t="shared" si="7"/>
        <v>T3-2023</v>
      </c>
    </row>
    <row r="107" spans="1:13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 t="str">
        <f t="shared" si="4"/>
        <v>60+</v>
      </c>
      <c r="K107" t="str">
        <f t="shared" si="5"/>
        <v>jueves-05</v>
      </c>
      <c r="L107">
        <f t="shared" si="6"/>
        <v>2023</v>
      </c>
      <c r="M107" t="str">
        <f t="shared" si="7"/>
        <v>T2-2023</v>
      </c>
    </row>
    <row r="108" spans="1:13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 t="str">
        <f t="shared" si="4"/>
        <v>60+</v>
      </c>
      <c r="K108" t="str">
        <f t="shared" si="5"/>
        <v>viernes-02</v>
      </c>
      <c r="L108">
        <f t="shared" si="6"/>
        <v>2023</v>
      </c>
      <c r="M108" t="str">
        <f t="shared" si="7"/>
        <v>T1-2023</v>
      </c>
    </row>
    <row r="109" spans="1:13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 t="str">
        <f t="shared" si="4"/>
        <v>60+</v>
      </c>
      <c r="K109" t="str">
        <f t="shared" si="5"/>
        <v>miércoles-04</v>
      </c>
      <c r="L109">
        <f t="shared" si="6"/>
        <v>2023</v>
      </c>
      <c r="M109" t="str">
        <f t="shared" si="7"/>
        <v>T2-2023</v>
      </c>
    </row>
    <row r="110" spans="1:13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 t="str">
        <f t="shared" si="4"/>
        <v>60+</v>
      </c>
      <c r="K110" t="str">
        <f t="shared" si="5"/>
        <v>miércoles-10</v>
      </c>
      <c r="L110">
        <f t="shared" si="6"/>
        <v>2023</v>
      </c>
      <c r="M110" t="str">
        <f t="shared" si="7"/>
        <v>T4-2023</v>
      </c>
    </row>
    <row r="111" spans="1:13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 t="str">
        <f t="shared" si="4"/>
        <v>60+</v>
      </c>
      <c r="K111" t="str">
        <f t="shared" si="5"/>
        <v>domingo-06</v>
      </c>
      <c r="L111">
        <f t="shared" si="6"/>
        <v>2023</v>
      </c>
      <c r="M111" t="str">
        <f t="shared" si="7"/>
        <v>T2-2023</v>
      </c>
    </row>
    <row r="112" spans="1:13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 t="str">
        <f t="shared" si="4"/>
        <v>60+</v>
      </c>
      <c r="K112" t="str">
        <f t="shared" si="5"/>
        <v>miércoles-04</v>
      </c>
      <c r="L112">
        <f t="shared" si="6"/>
        <v>2023</v>
      </c>
      <c r="M112" t="str">
        <f t="shared" si="7"/>
        <v>T2-2023</v>
      </c>
    </row>
    <row r="113" spans="1:13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 t="str">
        <f t="shared" si="4"/>
        <v>60+</v>
      </c>
      <c r="K113" t="str">
        <f t="shared" si="5"/>
        <v>sábado-12</v>
      </c>
      <c r="L113">
        <f t="shared" si="6"/>
        <v>2023</v>
      </c>
      <c r="M113" t="str">
        <f t="shared" si="7"/>
        <v>T4-2023</v>
      </c>
    </row>
    <row r="114" spans="1:13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 t="str">
        <f t="shared" si="4"/>
        <v>60+</v>
      </c>
      <c r="K114" t="str">
        <f t="shared" si="5"/>
        <v>miércoles-09</v>
      </c>
      <c r="L114">
        <f t="shared" si="6"/>
        <v>2023</v>
      </c>
      <c r="M114" t="str">
        <f t="shared" si="7"/>
        <v>T3-2023</v>
      </c>
    </row>
    <row r="115" spans="1:13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 t="str">
        <f t="shared" si="4"/>
        <v>60+</v>
      </c>
      <c r="K115" t="str">
        <f t="shared" si="5"/>
        <v>sábado-07</v>
      </c>
      <c r="L115">
        <f t="shared" si="6"/>
        <v>2023</v>
      </c>
      <c r="M115" t="str">
        <f t="shared" si="7"/>
        <v>T3-2023</v>
      </c>
    </row>
    <row r="116" spans="1:13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 t="str">
        <f t="shared" si="4"/>
        <v>60+</v>
      </c>
      <c r="K116" t="str">
        <f t="shared" si="5"/>
        <v>domingo-11</v>
      </c>
      <c r="L116">
        <f t="shared" si="6"/>
        <v>2023</v>
      </c>
      <c r="M116" t="str">
        <f t="shared" si="7"/>
        <v>T4-2023</v>
      </c>
    </row>
    <row r="117" spans="1:13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 t="str">
        <f t="shared" si="4"/>
        <v>60+</v>
      </c>
      <c r="K117" t="str">
        <f t="shared" si="5"/>
        <v>miércoles-08</v>
      </c>
      <c r="L117">
        <f t="shared" si="6"/>
        <v>2023</v>
      </c>
      <c r="M117" t="str">
        <f t="shared" si="7"/>
        <v>T3-2023</v>
      </c>
    </row>
    <row r="118" spans="1:13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 t="str">
        <f t="shared" si="4"/>
        <v>60+</v>
      </c>
      <c r="K118" t="str">
        <f t="shared" si="5"/>
        <v>miércoles-03</v>
      </c>
      <c r="L118">
        <f t="shared" si="6"/>
        <v>2023</v>
      </c>
      <c r="M118" t="str">
        <f t="shared" si="7"/>
        <v>T1-2023</v>
      </c>
    </row>
    <row r="119" spans="1:13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 t="str">
        <f t="shared" si="4"/>
        <v>60+</v>
      </c>
      <c r="K119" t="str">
        <f t="shared" si="5"/>
        <v>martes-05</v>
      </c>
      <c r="L119">
        <f t="shared" si="6"/>
        <v>2023</v>
      </c>
      <c r="M119" t="str">
        <f t="shared" si="7"/>
        <v>T2-2023</v>
      </c>
    </row>
    <row r="120" spans="1:13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 t="str">
        <f t="shared" si="4"/>
        <v>60+</v>
      </c>
      <c r="K120" t="str">
        <f t="shared" si="5"/>
        <v>lunes-03</v>
      </c>
      <c r="L120">
        <f t="shared" si="6"/>
        <v>2023</v>
      </c>
      <c r="M120" t="str">
        <f t="shared" si="7"/>
        <v>T1-2023</v>
      </c>
    </row>
    <row r="121" spans="1:13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 t="str">
        <f t="shared" si="4"/>
        <v>60+</v>
      </c>
      <c r="K121" t="str">
        <f t="shared" si="5"/>
        <v>domingo-05</v>
      </c>
      <c r="L121">
        <f t="shared" si="6"/>
        <v>2023</v>
      </c>
      <c r="M121" t="str">
        <f t="shared" si="7"/>
        <v>T2-2023</v>
      </c>
    </row>
    <row r="122" spans="1:13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 t="str">
        <f t="shared" si="4"/>
        <v>60+</v>
      </c>
      <c r="K122" t="str">
        <f t="shared" si="5"/>
        <v>domingo-10</v>
      </c>
      <c r="L122">
        <f t="shared" si="6"/>
        <v>2023</v>
      </c>
      <c r="M122" t="str">
        <f t="shared" si="7"/>
        <v>T4-2023</v>
      </c>
    </row>
    <row r="123" spans="1:13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 t="str">
        <f t="shared" si="4"/>
        <v>60+</v>
      </c>
      <c r="K123" t="str">
        <f t="shared" si="5"/>
        <v>martes-10</v>
      </c>
      <c r="L123">
        <f t="shared" si="6"/>
        <v>2023</v>
      </c>
      <c r="M123" t="str">
        <f t="shared" si="7"/>
        <v>T4-2023</v>
      </c>
    </row>
    <row r="124" spans="1:13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 t="str">
        <f t="shared" si="4"/>
        <v>60+</v>
      </c>
      <c r="K124" t="str">
        <f t="shared" si="5"/>
        <v>lunes-05</v>
      </c>
      <c r="L124">
        <f t="shared" si="6"/>
        <v>2023</v>
      </c>
      <c r="M124" t="str">
        <f t="shared" si="7"/>
        <v>T2-2023</v>
      </c>
    </row>
    <row r="125" spans="1:13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 t="str">
        <f t="shared" si="4"/>
        <v>60+</v>
      </c>
      <c r="K125" t="str">
        <f t="shared" si="5"/>
        <v>viernes-10</v>
      </c>
      <c r="L125">
        <f t="shared" si="6"/>
        <v>2023</v>
      </c>
      <c r="M125" t="str">
        <f t="shared" si="7"/>
        <v>T4-2023</v>
      </c>
    </row>
    <row r="126" spans="1:13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 t="str">
        <f t="shared" si="4"/>
        <v>60+</v>
      </c>
      <c r="K126" t="str">
        <f t="shared" si="5"/>
        <v>martes-08</v>
      </c>
      <c r="L126">
        <f t="shared" si="6"/>
        <v>2023</v>
      </c>
      <c r="M126" t="str">
        <f t="shared" si="7"/>
        <v>T3-2023</v>
      </c>
    </row>
    <row r="127" spans="1:13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 t="str">
        <f t="shared" si="4"/>
        <v>60+</v>
      </c>
      <c r="K127" t="str">
        <f t="shared" si="5"/>
        <v>jueves-10</v>
      </c>
      <c r="L127">
        <f t="shared" si="6"/>
        <v>2023</v>
      </c>
      <c r="M127" t="str">
        <f t="shared" si="7"/>
        <v>T4-2023</v>
      </c>
    </row>
    <row r="128" spans="1:13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 t="str">
        <f t="shared" si="4"/>
        <v>60+</v>
      </c>
      <c r="K128" t="str">
        <f t="shared" si="5"/>
        <v>lunes-07</v>
      </c>
      <c r="L128">
        <f t="shared" si="6"/>
        <v>2023</v>
      </c>
      <c r="M128" t="str">
        <f t="shared" si="7"/>
        <v>T3-2023</v>
      </c>
    </row>
    <row r="129" spans="1:13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 t="str">
        <f t="shared" si="4"/>
        <v>60+</v>
      </c>
      <c r="K129" t="str">
        <f t="shared" si="5"/>
        <v>miércoles-07</v>
      </c>
      <c r="L129">
        <f t="shared" si="6"/>
        <v>2023</v>
      </c>
      <c r="M129" t="str">
        <f t="shared" si="7"/>
        <v>T3-2023</v>
      </c>
    </row>
    <row r="130" spans="1:13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 t="str">
        <f t="shared" si="4"/>
        <v>60+</v>
      </c>
      <c r="K130" t="str">
        <f t="shared" si="5"/>
        <v>domingo-04</v>
      </c>
      <c r="L130">
        <f t="shared" si="6"/>
        <v>2023</v>
      </c>
      <c r="M130" t="str">
        <f t="shared" si="7"/>
        <v>T2-2023</v>
      </c>
    </row>
    <row r="131" spans="1:13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 t="str">
        <f t="shared" ref="J131:J194" si="8">IF(D131&lt;30,"18-29",IF(D131&lt;45,"30-44",IF(D131&lt;60,"45-59","60+")))</f>
        <v>60+</v>
      </c>
      <c r="K131" t="str">
        <f t="shared" ref="K131:K194" si="9">TEXT(B131,"AAAA-MM")</f>
        <v>domingo-03</v>
      </c>
      <c r="L131">
        <f t="shared" ref="L131:L194" si="10">YEAR(B131)</f>
        <v>2023</v>
      </c>
      <c r="M131" t="str">
        <f t="shared" ref="M131:M194" si="11">"T"&amp;INT((MONTH(B131)-1)/3+1)&amp;"-"&amp;YEAR(B131)</f>
        <v>T1-2023</v>
      </c>
    </row>
    <row r="132" spans="1:13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 t="str">
        <f t="shared" si="8"/>
        <v>60+</v>
      </c>
      <c r="K132" t="str">
        <f t="shared" si="9"/>
        <v>lunes-09</v>
      </c>
      <c r="L132">
        <f t="shared" si="10"/>
        <v>2023</v>
      </c>
      <c r="M132" t="str">
        <f t="shared" si="11"/>
        <v>T3-2023</v>
      </c>
    </row>
    <row r="133" spans="1:13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 t="str">
        <f t="shared" si="8"/>
        <v>60+</v>
      </c>
      <c r="K133" t="str">
        <f t="shared" si="9"/>
        <v>domingo-09</v>
      </c>
      <c r="L133">
        <f t="shared" si="10"/>
        <v>2023</v>
      </c>
      <c r="M133" t="str">
        <f t="shared" si="11"/>
        <v>T3-2023</v>
      </c>
    </row>
    <row r="134" spans="1:13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 t="str">
        <f t="shared" si="8"/>
        <v>60+</v>
      </c>
      <c r="K134" t="str">
        <f t="shared" si="9"/>
        <v>jueves-02</v>
      </c>
      <c r="L134">
        <f t="shared" si="10"/>
        <v>2023</v>
      </c>
      <c r="M134" t="str">
        <f t="shared" si="11"/>
        <v>T1-2023</v>
      </c>
    </row>
    <row r="135" spans="1:13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 t="str">
        <f t="shared" si="8"/>
        <v>60+</v>
      </c>
      <c r="K135" t="str">
        <f t="shared" si="9"/>
        <v>miércoles-01</v>
      </c>
      <c r="L135">
        <f t="shared" si="10"/>
        <v>2023</v>
      </c>
      <c r="M135" t="str">
        <f t="shared" si="11"/>
        <v>T1-2023</v>
      </c>
    </row>
    <row r="136" spans="1:13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 t="str">
        <f t="shared" si="8"/>
        <v>60+</v>
      </c>
      <c r="K136" t="str">
        <f t="shared" si="9"/>
        <v>domingo-02</v>
      </c>
      <c r="L136">
        <f t="shared" si="10"/>
        <v>2023</v>
      </c>
      <c r="M136" t="str">
        <f t="shared" si="11"/>
        <v>T1-2023</v>
      </c>
    </row>
    <row r="137" spans="1:13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 t="str">
        <f t="shared" si="8"/>
        <v>60+</v>
      </c>
      <c r="K137" t="str">
        <f t="shared" si="9"/>
        <v>lunes-03</v>
      </c>
      <c r="L137">
        <f t="shared" si="10"/>
        <v>2023</v>
      </c>
      <c r="M137" t="str">
        <f t="shared" si="11"/>
        <v>T1-2023</v>
      </c>
    </row>
    <row r="138" spans="1:13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 t="str">
        <f t="shared" si="8"/>
        <v>60+</v>
      </c>
      <c r="K138" t="str">
        <f t="shared" si="9"/>
        <v>sábado-11</v>
      </c>
      <c r="L138">
        <f t="shared" si="10"/>
        <v>2023</v>
      </c>
      <c r="M138" t="str">
        <f t="shared" si="11"/>
        <v>T4-2023</v>
      </c>
    </row>
    <row r="139" spans="1:13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 t="str">
        <f t="shared" si="8"/>
        <v>60+</v>
      </c>
      <c r="K139" t="str">
        <f t="shared" si="9"/>
        <v>jueves-03</v>
      </c>
      <c r="L139">
        <f t="shared" si="10"/>
        <v>2023</v>
      </c>
      <c r="M139" t="str">
        <f t="shared" si="11"/>
        <v>T1-2023</v>
      </c>
    </row>
    <row r="140" spans="1:13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 t="str">
        <f t="shared" si="8"/>
        <v>60+</v>
      </c>
      <c r="K140" t="str">
        <f t="shared" si="9"/>
        <v>viernes-12</v>
      </c>
      <c r="L140">
        <f t="shared" si="10"/>
        <v>2023</v>
      </c>
      <c r="M140" t="str">
        <f t="shared" si="11"/>
        <v>T4-2023</v>
      </c>
    </row>
    <row r="141" spans="1:13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 t="str">
        <f t="shared" si="8"/>
        <v>60+</v>
      </c>
      <c r="K141" t="str">
        <f t="shared" si="9"/>
        <v>sábado-08</v>
      </c>
      <c r="L141">
        <f t="shared" si="10"/>
        <v>2023</v>
      </c>
      <c r="M141" t="str">
        <f t="shared" si="11"/>
        <v>T3-2023</v>
      </c>
    </row>
    <row r="142" spans="1:13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 t="str">
        <f t="shared" si="8"/>
        <v>60+</v>
      </c>
      <c r="K142" t="str">
        <f t="shared" si="9"/>
        <v>jueves-11</v>
      </c>
      <c r="L142">
        <f t="shared" si="10"/>
        <v>2023</v>
      </c>
      <c r="M142" t="str">
        <f t="shared" si="11"/>
        <v>T4-2023</v>
      </c>
    </row>
    <row r="143" spans="1:13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 t="str">
        <f t="shared" si="8"/>
        <v>60+</v>
      </c>
      <c r="K143" t="str">
        <f t="shared" si="9"/>
        <v>jueves-02</v>
      </c>
      <c r="L143">
        <f t="shared" si="10"/>
        <v>2023</v>
      </c>
      <c r="M143" t="str">
        <f t="shared" si="11"/>
        <v>T1-2023</v>
      </c>
    </row>
    <row r="144" spans="1:13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 t="str">
        <f t="shared" si="8"/>
        <v>60+</v>
      </c>
      <c r="K144" t="str">
        <f t="shared" si="9"/>
        <v>lunes-07</v>
      </c>
      <c r="L144">
        <f t="shared" si="10"/>
        <v>2023</v>
      </c>
      <c r="M144" t="str">
        <f t="shared" si="11"/>
        <v>T3-2023</v>
      </c>
    </row>
    <row r="145" spans="1:13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 t="str">
        <f t="shared" si="8"/>
        <v>60+</v>
      </c>
      <c r="K145" t="str">
        <f t="shared" si="9"/>
        <v>sábado-07</v>
      </c>
      <c r="L145">
        <f t="shared" si="10"/>
        <v>2023</v>
      </c>
      <c r="M145" t="str">
        <f t="shared" si="11"/>
        <v>T3-2023</v>
      </c>
    </row>
    <row r="146" spans="1:13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 t="str">
        <f t="shared" si="8"/>
        <v>60+</v>
      </c>
      <c r="K146" t="str">
        <f t="shared" si="9"/>
        <v>jueves-11</v>
      </c>
      <c r="L146">
        <f t="shared" si="10"/>
        <v>2023</v>
      </c>
      <c r="M146" t="str">
        <f t="shared" si="11"/>
        <v>T4-2023</v>
      </c>
    </row>
    <row r="147" spans="1:13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 t="str">
        <f t="shared" si="8"/>
        <v>60+</v>
      </c>
      <c r="K147" t="str">
        <f t="shared" si="9"/>
        <v>lunes-08</v>
      </c>
      <c r="L147">
        <f t="shared" si="10"/>
        <v>2023</v>
      </c>
      <c r="M147" t="str">
        <f t="shared" si="11"/>
        <v>T3-2023</v>
      </c>
    </row>
    <row r="148" spans="1:13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 t="str">
        <f t="shared" si="8"/>
        <v>60+</v>
      </c>
      <c r="K148" t="str">
        <f t="shared" si="9"/>
        <v>jueves-09</v>
      </c>
      <c r="L148">
        <f t="shared" si="10"/>
        <v>2023</v>
      </c>
      <c r="M148" t="str">
        <f t="shared" si="11"/>
        <v>T3-2023</v>
      </c>
    </row>
    <row r="149" spans="1:13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 t="str">
        <f t="shared" si="8"/>
        <v>60+</v>
      </c>
      <c r="K149" t="str">
        <f t="shared" si="9"/>
        <v>martes-05</v>
      </c>
      <c r="L149">
        <f t="shared" si="10"/>
        <v>2023</v>
      </c>
      <c r="M149" t="str">
        <f t="shared" si="11"/>
        <v>T2-2023</v>
      </c>
    </row>
    <row r="150" spans="1:13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 t="str">
        <f t="shared" si="8"/>
        <v>60+</v>
      </c>
      <c r="K150" t="str">
        <f t="shared" si="9"/>
        <v>miércoles-10</v>
      </c>
      <c r="L150">
        <f t="shared" si="10"/>
        <v>2023</v>
      </c>
      <c r="M150" t="str">
        <f t="shared" si="11"/>
        <v>T4-2023</v>
      </c>
    </row>
    <row r="151" spans="1:13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 t="str">
        <f t="shared" si="8"/>
        <v>60+</v>
      </c>
      <c r="K151" t="str">
        <f t="shared" si="9"/>
        <v>viernes-01</v>
      </c>
      <c r="L151">
        <f t="shared" si="10"/>
        <v>2023</v>
      </c>
      <c r="M151" t="str">
        <f t="shared" si="11"/>
        <v>T1-2023</v>
      </c>
    </row>
    <row r="152" spans="1:13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 t="str">
        <f t="shared" si="8"/>
        <v>60+</v>
      </c>
      <c r="K152" t="str">
        <f t="shared" si="9"/>
        <v>viernes-12</v>
      </c>
      <c r="L152">
        <f t="shared" si="10"/>
        <v>2023</v>
      </c>
      <c r="M152" t="str">
        <f t="shared" si="11"/>
        <v>T4-2023</v>
      </c>
    </row>
    <row r="153" spans="1:13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 t="str">
        <f t="shared" si="8"/>
        <v>60+</v>
      </c>
      <c r="K153" t="str">
        <f t="shared" si="9"/>
        <v>martes-02</v>
      </c>
      <c r="L153">
        <f t="shared" si="10"/>
        <v>2023</v>
      </c>
      <c r="M153" t="str">
        <f t="shared" si="11"/>
        <v>T1-2023</v>
      </c>
    </row>
    <row r="154" spans="1:13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 t="str">
        <f t="shared" si="8"/>
        <v>60+</v>
      </c>
      <c r="K154" t="str">
        <f t="shared" si="9"/>
        <v>sábado-12</v>
      </c>
      <c r="L154">
        <f t="shared" si="10"/>
        <v>2023</v>
      </c>
      <c r="M154" t="str">
        <f t="shared" si="11"/>
        <v>T4-2023</v>
      </c>
    </row>
    <row r="155" spans="1:13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 t="str">
        <f t="shared" si="8"/>
        <v>60+</v>
      </c>
      <c r="K155" t="str">
        <f t="shared" si="9"/>
        <v>lunes-10</v>
      </c>
      <c r="L155">
        <f t="shared" si="10"/>
        <v>2023</v>
      </c>
      <c r="M155" t="str">
        <f t="shared" si="11"/>
        <v>T4-2023</v>
      </c>
    </row>
    <row r="156" spans="1:13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 t="str">
        <f t="shared" si="8"/>
        <v>60+</v>
      </c>
      <c r="K156" t="str">
        <f t="shared" si="9"/>
        <v>miércoles-05</v>
      </c>
      <c r="L156">
        <f t="shared" si="10"/>
        <v>2023</v>
      </c>
      <c r="M156" t="str">
        <f t="shared" si="11"/>
        <v>T2-2023</v>
      </c>
    </row>
    <row r="157" spans="1:13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 t="str">
        <f t="shared" si="8"/>
        <v>60+</v>
      </c>
      <c r="K157" t="str">
        <f t="shared" si="9"/>
        <v>sábado-11</v>
      </c>
      <c r="L157">
        <f t="shared" si="10"/>
        <v>2023</v>
      </c>
      <c r="M157" t="str">
        <f t="shared" si="11"/>
        <v>T4-2023</v>
      </c>
    </row>
    <row r="158" spans="1:13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 t="str">
        <f t="shared" si="8"/>
        <v>60+</v>
      </c>
      <c r="K158" t="str">
        <f t="shared" si="9"/>
        <v>sábado-06</v>
      </c>
      <c r="L158">
        <f t="shared" si="10"/>
        <v>2023</v>
      </c>
      <c r="M158" t="str">
        <f t="shared" si="11"/>
        <v>T2-2023</v>
      </c>
    </row>
    <row r="159" spans="1:13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 t="str">
        <f t="shared" si="8"/>
        <v>60+</v>
      </c>
      <c r="K159" t="str">
        <f t="shared" si="9"/>
        <v>lunes-02</v>
      </c>
      <c r="L159">
        <f t="shared" si="10"/>
        <v>2023</v>
      </c>
      <c r="M159" t="str">
        <f t="shared" si="11"/>
        <v>T1-2023</v>
      </c>
    </row>
    <row r="160" spans="1:13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 t="str">
        <f t="shared" si="8"/>
        <v>60+</v>
      </c>
      <c r="K160" t="str">
        <f t="shared" si="9"/>
        <v>miércoles-05</v>
      </c>
      <c r="L160">
        <f t="shared" si="10"/>
        <v>2023</v>
      </c>
      <c r="M160" t="str">
        <f t="shared" si="11"/>
        <v>T2-2023</v>
      </c>
    </row>
    <row r="161" spans="1:13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 t="str">
        <f t="shared" si="8"/>
        <v>60+</v>
      </c>
      <c r="K161" t="str">
        <f t="shared" si="9"/>
        <v>viernes-08</v>
      </c>
      <c r="L161">
        <f t="shared" si="10"/>
        <v>2023</v>
      </c>
      <c r="M161" t="str">
        <f t="shared" si="11"/>
        <v>T3-2023</v>
      </c>
    </row>
    <row r="162" spans="1:13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 t="str">
        <f t="shared" si="8"/>
        <v>60+</v>
      </c>
      <c r="K162" t="str">
        <f t="shared" si="9"/>
        <v>miércoles-03</v>
      </c>
      <c r="L162">
        <f t="shared" si="10"/>
        <v>2023</v>
      </c>
      <c r="M162" t="str">
        <f t="shared" si="11"/>
        <v>T1-2023</v>
      </c>
    </row>
    <row r="163" spans="1:13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 t="str">
        <f t="shared" si="8"/>
        <v>60+</v>
      </c>
      <c r="K163" t="str">
        <f t="shared" si="9"/>
        <v>lunes-08</v>
      </c>
      <c r="L163">
        <f t="shared" si="10"/>
        <v>2023</v>
      </c>
      <c r="M163" t="str">
        <f t="shared" si="11"/>
        <v>T3-2023</v>
      </c>
    </row>
    <row r="164" spans="1:13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 t="str">
        <f t="shared" si="8"/>
        <v>60+</v>
      </c>
      <c r="K164" t="str">
        <f t="shared" si="9"/>
        <v>lunes-01</v>
      </c>
      <c r="L164">
        <f t="shared" si="10"/>
        <v>2023</v>
      </c>
      <c r="M164" t="str">
        <f t="shared" si="11"/>
        <v>T1-2023</v>
      </c>
    </row>
    <row r="165" spans="1:13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 t="str">
        <f t="shared" si="8"/>
        <v>60+</v>
      </c>
      <c r="K165" t="str">
        <f t="shared" si="9"/>
        <v>lunes-05</v>
      </c>
      <c r="L165">
        <f t="shared" si="10"/>
        <v>2023</v>
      </c>
      <c r="M165" t="str">
        <f t="shared" si="11"/>
        <v>T2-2023</v>
      </c>
    </row>
    <row r="166" spans="1:13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 t="str">
        <f t="shared" si="8"/>
        <v>60+</v>
      </c>
      <c r="K166" t="str">
        <f t="shared" si="9"/>
        <v>jueves-09</v>
      </c>
      <c r="L166">
        <f t="shared" si="10"/>
        <v>2023</v>
      </c>
      <c r="M166" t="str">
        <f t="shared" si="11"/>
        <v>T3-2023</v>
      </c>
    </row>
    <row r="167" spans="1:13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 t="str">
        <f t="shared" si="8"/>
        <v>60+</v>
      </c>
      <c r="K167" t="str">
        <f t="shared" si="9"/>
        <v>domingo-04</v>
      </c>
      <c r="L167">
        <f t="shared" si="10"/>
        <v>2023</v>
      </c>
      <c r="M167" t="str">
        <f t="shared" si="11"/>
        <v>T2-2023</v>
      </c>
    </row>
    <row r="168" spans="1:13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 t="str">
        <f t="shared" si="8"/>
        <v>60+</v>
      </c>
      <c r="K168" t="str">
        <f t="shared" si="9"/>
        <v>domingo-09</v>
      </c>
      <c r="L168">
        <f t="shared" si="10"/>
        <v>2023</v>
      </c>
      <c r="M168" t="str">
        <f t="shared" si="11"/>
        <v>T3-2023</v>
      </c>
    </row>
    <row r="169" spans="1:13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 t="str">
        <f t="shared" si="8"/>
        <v>60+</v>
      </c>
      <c r="K169" t="str">
        <f t="shared" si="9"/>
        <v>viernes-02</v>
      </c>
      <c r="L169">
        <f t="shared" si="10"/>
        <v>2023</v>
      </c>
      <c r="M169" t="str">
        <f t="shared" si="11"/>
        <v>T1-2023</v>
      </c>
    </row>
    <row r="170" spans="1:13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 t="str">
        <f t="shared" si="8"/>
        <v>60+</v>
      </c>
      <c r="K170" t="str">
        <f t="shared" si="9"/>
        <v>viernes-11</v>
      </c>
      <c r="L170">
        <f t="shared" si="10"/>
        <v>2023</v>
      </c>
      <c r="M170" t="str">
        <f t="shared" si="11"/>
        <v>T4-2023</v>
      </c>
    </row>
    <row r="171" spans="1:13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 t="str">
        <f t="shared" si="8"/>
        <v>60+</v>
      </c>
      <c r="K171" t="str">
        <f t="shared" si="9"/>
        <v>viernes-06</v>
      </c>
      <c r="L171">
        <f t="shared" si="10"/>
        <v>2023</v>
      </c>
      <c r="M171" t="str">
        <f t="shared" si="11"/>
        <v>T2-2023</v>
      </c>
    </row>
    <row r="172" spans="1:13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 t="str">
        <f t="shared" si="8"/>
        <v>60+</v>
      </c>
      <c r="K172" t="str">
        <f t="shared" si="9"/>
        <v>viernes-11</v>
      </c>
      <c r="L172">
        <f t="shared" si="10"/>
        <v>2023</v>
      </c>
      <c r="M172" t="str">
        <f t="shared" si="11"/>
        <v>T4-2023</v>
      </c>
    </row>
    <row r="173" spans="1:13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 t="str">
        <f t="shared" si="8"/>
        <v>60+</v>
      </c>
      <c r="K173" t="str">
        <f t="shared" si="9"/>
        <v>domingo-09</v>
      </c>
      <c r="L173">
        <f t="shared" si="10"/>
        <v>2023</v>
      </c>
      <c r="M173" t="str">
        <f t="shared" si="11"/>
        <v>T3-2023</v>
      </c>
    </row>
    <row r="174" spans="1:13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 t="str">
        <f t="shared" si="8"/>
        <v>60+</v>
      </c>
      <c r="K174" t="str">
        <f t="shared" si="9"/>
        <v>miércoles-11</v>
      </c>
      <c r="L174">
        <f t="shared" si="10"/>
        <v>2023</v>
      </c>
      <c r="M174" t="str">
        <f t="shared" si="11"/>
        <v>T4-2023</v>
      </c>
    </row>
    <row r="175" spans="1:13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 t="str">
        <f t="shared" si="8"/>
        <v>60+</v>
      </c>
      <c r="K175" t="str">
        <f t="shared" si="9"/>
        <v>miércoles-04</v>
      </c>
      <c r="L175">
        <f t="shared" si="10"/>
        <v>2023</v>
      </c>
      <c r="M175" t="str">
        <f t="shared" si="11"/>
        <v>T2-2023</v>
      </c>
    </row>
    <row r="176" spans="1:13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 t="str">
        <f t="shared" si="8"/>
        <v>60+</v>
      </c>
      <c r="K176" t="str">
        <f t="shared" si="9"/>
        <v>lunes-03</v>
      </c>
      <c r="L176">
        <f t="shared" si="10"/>
        <v>2023</v>
      </c>
      <c r="M176" t="str">
        <f t="shared" si="11"/>
        <v>T1-2023</v>
      </c>
    </row>
    <row r="177" spans="1:13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 t="str">
        <f t="shared" si="8"/>
        <v>60+</v>
      </c>
      <c r="K177" t="str">
        <f t="shared" si="9"/>
        <v>martes-07</v>
      </c>
      <c r="L177">
        <f t="shared" si="10"/>
        <v>2023</v>
      </c>
      <c r="M177" t="str">
        <f t="shared" si="11"/>
        <v>T3-2023</v>
      </c>
    </row>
    <row r="178" spans="1:13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 t="str">
        <f t="shared" si="8"/>
        <v>60+</v>
      </c>
      <c r="K178" t="str">
        <f t="shared" si="9"/>
        <v>viernes-03</v>
      </c>
      <c r="L178">
        <f t="shared" si="10"/>
        <v>2023</v>
      </c>
      <c r="M178" t="str">
        <f t="shared" si="11"/>
        <v>T1-2023</v>
      </c>
    </row>
    <row r="179" spans="1:13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 t="str">
        <f t="shared" si="8"/>
        <v>60+</v>
      </c>
      <c r="K179" t="str">
        <f t="shared" si="9"/>
        <v>miércoles-10</v>
      </c>
      <c r="L179">
        <f t="shared" si="10"/>
        <v>2023</v>
      </c>
      <c r="M179" t="str">
        <f t="shared" si="11"/>
        <v>T4-2023</v>
      </c>
    </row>
    <row r="180" spans="1:13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 t="str">
        <f t="shared" si="8"/>
        <v>60+</v>
      </c>
      <c r="K180" t="str">
        <f t="shared" si="9"/>
        <v>viernes-09</v>
      </c>
      <c r="L180">
        <f t="shared" si="10"/>
        <v>2023</v>
      </c>
      <c r="M180" t="str">
        <f t="shared" si="11"/>
        <v>T3-2023</v>
      </c>
    </row>
    <row r="181" spans="1:13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 t="str">
        <f t="shared" si="8"/>
        <v>60+</v>
      </c>
      <c r="K181" t="str">
        <f t="shared" si="9"/>
        <v>domingo-01</v>
      </c>
      <c r="L181">
        <f t="shared" si="10"/>
        <v>2023</v>
      </c>
      <c r="M181" t="str">
        <f t="shared" si="11"/>
        <v>T1-2023</v>
      </c>
    </row>
    <row r="182" spans="1:13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 t="str">
        <f t="shared" si="8"/>
        <v>60+</v>
      </c>
      <c r="K182" t="str">
        <f t="shared" si="9"/>
        <v>viernes-11</v>
      </c>
      <c r="L182">
        <f t="shared" si="10"/>
        <v>2023</v>
      </c>
      <c r="M182" t="str">
        <f t="shared" si="11"/>
        <v>T4-2023</v>
      </c>
    </row>
    <row r="183" spans="1:13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 t="str">
        <f t="shared" si="8"/>
        <v>60+</v>
      </c>
      <c r="K183" t="str">
        <f t="shared" si="9"/>
        <v>jueves-06</v>
      </c>
      <c r="L183">
        <f t="shared" si="10"/>
        <v>2023</v>
      </c>
      <c r="M183" t="str">
        <f t="shared" si="11"/>
        <v>T2-2023</v>
      </c>
    </row>
    <row r="184" spans="1:13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 t="str">
        <f t="shared" si="8"/>
        <v>60+</v>
      </c>
      <c r="K184" t="str">
        <f t="shared" si="9"/>
        <v>viernes-09</v>
      </c>
      <c r="L184">
        <f t="shared" si="10"/>
        <v>2023</v>
      </c>
      <c r="M184" t="str">
        <f t="shared" si="11"/>
        <v>T3-2023</v>
      </c>
    </row>
    <row r="185" spans="1:13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 t="str">
        <f t="shared" si="8"/>
        <v>60+</v>
      </c>
      <c r="K185" t="str">
        <f t="shared" si="9"/>
        <v>martes-01</v>
      </c>
      <c r="L185">
        <f t="shared" si="10"/>
        <v>2023</v>
      </c>
      <c r="M185" t="str">
        <f t="shared" si="11"/>
        <v>T1-2023</v>
      </c>
    </row>
    <row r="186" spans="1:13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 t="str">
        <f t="shared" si="8"/>
        <v>60+</v>
      </c>
      <c r="K186" t="str">
        <f t="shared" si="9"/>
        <v>lunes-02</v>
      </c>
      <c r="L186">
        <f t="shared" si="10"/>
        <v>2023</v>
      </c>
      <c r="M186" t="str">
        <f t="shared" si="11"/>
        <v>T1-2023</v>
      </c>
    </row>
    <row r="187" spans="1:13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 t="str">
        <f t="shared" si="8"/>
        <v>60+</v>
      </c>
      <c r="K187" t="str">
        <f t="shared" si="9"/>
        <v>miércoles-07</v>
      </c>
      <c r="L187">
        <f t="shared" si="10"/>
        <v>2023</v>
      </c>
      <c r="M187" t="str">
        <f t="shared" si="11"/>
        <v>T3-2023</v>
      </c>
    </row>
    <row r="188" spans="1:13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 t="str">
        <f t="shared" si="8"/>
        <v>60+</v>
      </c>
      <c r="K188" t="str">
        <f t="shared" si="9"/>
        <v>miércoles-06</v>
      </c>
      <c r="L188">
        <f t="shared" si="10"/>
        <v>2023</v>
      </c>
      <c r="M188" t="str">
        <f t="shared" si="11"/>
        <v>T2-2023</v>
      </c>
    </row>
    <row r="189" spans="1:13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 t="str">
        <f t="shared" si="8"/>
        <v>60+</v>
      </c>
      <c r="K189" t="str">
        <f t="shared" si="9"/>
        <v>miércoles-05</v>
      </c>
      <c r="L189">
        <f t="shared" si="10"/>
        <v>2023</v>
      </c>
      <c r="M189" t="str">
        <f t="shared" si="11"/>
        <v>T2-2023</v>
      </c>
    </row>
    <row r="190" spans="1:13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 t="str">
        <f t="shared" si="8"/>
        <v>60+</v>
      </c>
      <c r="K190" t="str">
        <f t="shared" si="9"/>
        <v>lunes-01</v>
      </c>
      <c r="L190">
        <f t="shared" si="10"/>
        <v>2023</v>
      </c>
      <c r="M190" t="str">
        <f t="shared" si="11"/>
        <v>T1-2023</v>
      </c>
    </row>
    <row r="191" spans="1:13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 t="str">
        <f t="shared" si="8"/>
        <v>60+</v>
      </c>
      <c r="K191" t="str">
        <f t="shared" si="9"/>
        <v>jueves-05</v>
      </c>
      <c r="L191">
        <f t="shared" si="10"/>
        <v>2023</v>
      </c>
      <c r="M191" t="str">
        <f t="shared" si="11"/>
        <v>T2-2023</v>
      </c>
    </row>
    <row r="192" spans="1:13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 t="str">
        <f t="shared" si="8"/>
        <v>60+</v>
      </c>
      <c r="K192" t="str">
        <f t="shared" si="9"/>
        <v>miércoles-10</v>
      </c>
      <c r="L192">
        <f t="shared" si="10"/>
        <v>2023</v>
      </c>
      <c r="M192" t="str">
        <f t="shared" si="11"/>
        <v>T4-2023</v>
      </c>
    </row>
    <row r="193" spans="1:13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 t="str">
        <f t="shared" si="8"/>
        <v>60+</v>
      </c>
      <c r="K193" t="str">
        <f t="shared" si="9"/>
        <v>viernes-02</v>
      </c>
      <c r="L193">
        <f t="shared" si="10"/>
        <v>2023</v>
      </c>
      <c r="M193" t="str">
        <f t="shared" si="11"/>
        <v>T1-2023</v>
      </c>
    </row>
    <row r="194" spans="1:13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 t="str">
        <f t="shared" si="8"/>
        <v>60+</v>
      </c>
      <c r="K194" t="str">
        <f t="shared" si="9"/>
        <v>lunes-02</v>
      </c>
      <c r="L194">
        <f t="shared" si="10"/>
        <v>2023</v>
      </c>
      <c r="M194" t="str">
        <f t="shared" si="11"/>
        <v>T1-2023</v>
      </c>
    </row>
    <row r="195" spans="1:13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 t="str">
        <f t="shared" ref="J195:J258" si="12">IF(D195&lt;30,"18-29",IF(D195&lt;45,"30-44",IF(D195&lt;60,"45-59","60+")))</f>
        <v>60+</v>
      </c>
      <c r="K195" t="str">
        <f t="shared" ref="K195:K258" si="13">TEXT(B195,"AAAA-MM")</f>
        <v>miércoles-09</v>
      </c>
      <c r="L195">
        <f t="shared" ref="L195:L258" si="14">YEAR(B195)</f>
        <v>2023</v>
      </c>
      <c r="M195" t="str">
        <f t="shared" ref="M195:M258" si="15">"T"&amp;INT((MONTH(B195)-1)/3+1)&amp;"-"&amp;YEAR(B195)</f>
        <v>T3-2023</v>
      </c>
    </row>
    <row r="196" spans="1:13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 t="str">
        <f t="shared" si="12"/>
        <v>60+</v>
      </c>
      <c r="K196" t="str">
        <f t="shared" si="13"/>
        <v>domingo-02</v>
      </c>
      <c r="L196">
        <f t="shared" si="14"/>
        <v>2023</v>
      </c>
      <c r="M196" t="str">
        <f t="shared" si="15"/>
        <v>T1-2023</v>
      </c>
    </row>
    <row r="197" spans="1:13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 t="str">
        <f t="shared" si="12"/>
        <v>60+</v>
      </c>
      <c r="K197" t="str">
        <f t="shared" si="13"/>
        <v>sábado-09</v>
      </c>
      <c r="L197">
        <f t="shared" si="14"/>
        <v>2023</v>
      </c>
      <c r="M197" t="str">
        <f t="shared" si="15"/>
        <v>T3-2023</v>
      </c>
    </row>
    <row r="198" spans="1:13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 t="str">
        <f t="shared" si="12"/>
        <v>60+</v>
      </c>
      <c r="K198" t="str">
        <f t="shared" si="13"/>
        <v>lunes-03</v>
      </c>
      <c r="L198">
        <f t="shared" si="14"/>
        <v>2023</v>
      </c>
      <c r="M198" t="str">
        <f t="shared" si="15"/>
        <v>T1-2023</v>
      </c>
    </row>
    <row r="199" spans="1:13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 t="str">
        <f t="shared" si="12"/>
        <v>60+</v>
      </c>
      <c r="K199" t="str">
        <f t="shared" si="13"/>
        <v>martes-03</v>
      </c>
      <c r="L199">
        <f t="shared" si="14"/>
        <v>2023</v>
      </c>
      <c r="M199" t="str">
        <f t="shared" si="15"/>
        <v>T1-2023</v>
      </c>
    </row>
    <row r="200" spans="1:13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 t="str">
        <f t="shared" si="12"/>
        <v>60+</v>
      </c>
      <c r="K200" t="str">
        <f t="shared" si="13"/>
        <v>lunes-12</v>
      </c>
      <c r="L200">
        <f t="shared" si="14"/>
        <v>2023</v>
      </c>
      <c r="M200" t="str">
        <f t="shared" si="15"/>
        <v>T4-2023</v>
      </c>
    </row>
    <row r="201" spans="1:13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 t="str">
        <f t="shared" si="12"/>
        <v>60+</v>
      </c>
      <c r="K201" t="str">
        <f t="shared" si="13"/>
        <v>viernes-09</v>
      </c>
      <c r="L201">
        <f t="shared" si="14"/>
        <v>2023</v>
      </c>
      <c r="M201" t="str">
        <f t="shared" si="15"/>
        <v>T3-2023</v>
      </c>
    </row>
    <row r="202" spans="1:13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 t="str">
        <f t="shared" si="12"/>
        <v>60+</v>
      </c>
      <c r="K202" t="str">
        <f t="shared" si="13"/>
        <v>lunes-10</v>
      </c>
      <c r="L202">
        <f t="shared" si="14"/>
        <v>2023</v>
      </c>
      <c r="M202" t="str">
        <f t="shared" si="15"/>
        <v>T4-2023</v>
      </c>
    </row>
    <row r="203" spans="1:13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 t="str">
        <f t="shared" si="12"/>
        <v>60+</v>
      </c>
      <c r="K203" t="str">
        <f t="shared" si="13"/>
        <v>domingo-03</v>
      </c>
      <c r="L203">
        <f t="shared" si="14"/>
        <v>2023</v>
      </c>
      <c r="M203" t="str">
        <f t="shared" si="15"/>
        <v>T1-2023</v>
      </c>
    </row>
    <row r="204" spans="1:13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 t="str">
        <f t="shared" si="12"/>
        <v>60+</v>
      </c>
      <c r="K204" t="str">
        <f t="shared" si="13"/>
        <v>martes-05</v>
      </c>
      <c r="L204">
        <f t="shared" si="14"/>
        <v>2023</v>
      </c>
      <c r="M204" t="str">
        <f t="shared" si="15"/>
        <v>T2-2023</v>
      </c>
    </row>
    <row r="205" spans="1:13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 t="str">
        <f t="shared" si="12"/>
        <v>60+</v>
      </c>
      <c r="K205" t="str">
        <f t="shared" si="13"/>
        <v>jueves-09</v>
      </c>
      <c r="L205">
        <f t="shared" si="14"/>
        <v>2023</v>
      </c>
      <c r="M205" t="str">
        <f t="shared" si="15"/>
        <v>T3-2023</v>
      </c>
    </row>
    <row r="206" spans="1:13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 t="str">
        <f t="shared" si="12"/>
        <v>60+</v>
      </c>
      <c r="K206" t="str">
        <f t="shared" si="13"/>
        <v>martes-11</v>
      </c>
      <c r="L206">
        <f t="shared" si="14"/>
        <v>2023</v>
      </c>
      <c r="M206" t="str">
        <f t="shared" si="15"/>
        <v>T4-2023</v>
      </c>
    </row>
    <row r="207" spans="1:13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 t="str">
        <f t="shared" si="12"/>
        <v>60+</v>
      </c>
      <c r="K207" t="str">
        <f t="shared" si="13"/>
        <v>sábado-08</v>
      </c>
      <c r="L207">
        <f t="shared" si="14"/>
        <v>2023</v>
      </c>
      <c r="M207" t="str">
        <f t="shared" si="15"/>
        <v>T3-2023</v>
      </c>
    </row>
    <row r="208" spans="1:13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 t="str">
        <f t="shared" si="12"/>
        <v>60+</v>
      </c>
      <c r="K208" t="str">
        <f t="shared" si="13"/>
        <v>miércoles-04</v>
      </c>
      <c r="L208">
        <f t="shared" si="14"/>
        <v>2023</v>
      </c>
      <c r="M208" t="str">
        <f t="shared" si="15"/>
        <v>T2-2023</v>
      </c>
    </row>
    <row r="209" spans="1:13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 t="str">
        <f t="shared" si="12"/>
        <v>60+</v>
      </c>
      <c r="K209" t="str">
        <f t="shared" si="13"/>
        <v>miércoles-10</v>
      </c>
      <c r="L209">
        <f t="shared" si="14"/>
        <v>2023</v>
      </c>
      <c r="M209" t="str">
        <f t="shared" si="15"/>
        <v>T4-2023</v>
      </c>
    </row>
    <row r="210" spans="1:13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 t="str">
        <f t="shared" si="12"/>
        <v>60+</v>
      </c>
      <c r="K210" t="str">
        <f t="shared" si="13"/>
        <v>miércoles-12</v>
      </c>
      <c r="L210">
        <f t="shared" si="14"/>
        <v>2023</v>
      </c>
      <c r="M210" t="str">
        <f t="shared" si="15"/>
        <v>T4-2023</v>
      </c>
    </row>
    <row r="211" spans="1:13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 t="str">
        <f t="shared" si="12"/>
        <v>60+</v>
      </c>
      <c r="K211" t="str">
        <f t="shared" si="13"/>
        <v>jueves-04</v>
      </c>
      <c r="L211">
        <f t="shared" si="14"/>
        <v>2023</v>
      </c>
      <c r="M211" t="str">
        <f t="shared" si="15"/>
        <v>T2-2023</v>
      </c>
    </row>
    <row r="212" spans="1:13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 t="str">
        <f t="shared" si="12"/>
        <v>60+</v>
      </c>
      <c r="K212" t="str">
        <f t="shared" si="13"/>
        <v>lunes-01</v>
      </c>
      <c r="L212">
        <f t="shared" si="14"/>
        <v>2024</v>
      </c>
      <c r="M212" t="str">
        <f t="shared" si="15"/>
        <v>T1-2024</v>
      </c>
    </row>
    <row r="213" spans="1:13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 t="str">
        <f t="shared" si="12"/>
        <v>60+</v>
      </c>
      <c r="K213" t="str">
        <f t="shared" si="13"/>
        <v>viernes-06</v>
      </c>
      <c r="L213">
        <f t="shared" si="14"/>
        <v>2023</v>
      </c>
      <c r="M213" t="str">
        <f t="shared" si="15"/>
        <v>T2-2023</v>
      </c>
    </row>
    <row r="214" spans="1:13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 t="str">
        <f t="shared" si="12"/>
        <v>60+</v>
      </c>
      <c r="K214" t="str">
        <f t="shared" si="13"/>
        <v>lunes-07</v>
      </c>
      <c r="L214">
        <f t="shared" si="14"/>
        <v>2023</v>
      </c>
      <c r="M214" t="str">
        <f t="shared" si="15"/>
        <v>T3-2023</v>
      </c>
    </row>
    <row r="215" spans="1:13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 t="str">
        <f t="shared" si="12"/>
        <v>60+</v>
      </c>
      <c r="K215" t="str">
        <f t="shared" si="13"/>
        <v>domingo-12</v>
      </c>
      <c r="L215">
        <f t="shared" si="14"/>
        <v>2023</v>
      </c>
      <c r="M215" t="str">
        <f t="shared" si="15"/>
        <v>T4-2023</v>
      </c>
    </row>
    <row r="216" spans="1:13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 t="str">
        <f t="shared" si="12"/>
        <v>60+</v>
      </c>
      <c r="K216" t="str">
        <f t="shared" si="13"/>
        <v>miércoles-11</v>
      </c>
      <c r="L216">
        <f t="shared" si="14"/>
        <v>2023</v>
      </c>
      <c r="M216" t="str">
        <f t="shared" si="15"/>
        <v>T4-2023</v>
      </c>
    </row>
    <row r="217" spans="1:13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 t="str">
        <f t="shared" si="12"/>
        <v>60+</v>
      </c>
      <c r="K217" t="str">
        <f t="shared" si="13"/>
        <v>martes-07</v>
      </c>
      <c r="L217">
        <f t="shared" si="14"/>
        <v>2023</v>
      </c>
      <c r="M217" t="str">
        <f t="shared" si="15"/>
        <v>T3-2023</v>
      </c>
    </row>
    <row r="218" spans="1:13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 t="str">
        <f t="shared" si="12"/>
        <v>60+</v>
      </c>
      <c r="K218" t="str">
        <f t="shared" si="13"/>
        <v>domingo-08</v>
      </c>
      <c r="L218">
        <f t="shared" si="14"/>
        <v>2023</v>
      </c>
      <c r="M218" t="str">
        <f t="shared" si="15"/>
        <v>T3-2023</v>
      </c>
    </row>
    <row r="219" spans="1:13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 t="str">
        <f t="shared" si="12"/>
        <v>60+</v>
      </c>
      <c r="K219" t="str">
        <f t="shared" si="13"/>
        <v>viernes-09</v>
      </c>
      <c r="L219">
        <f t="shared" si="14"/>
        <v>2023</v>
      </c>
      <c r="M219" t="str">
        <f t="shared" si="15"/>
        <v>T3-2023</v>
      </c>
    </row>
    <row r="220" spans="1:13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 t="str">
        <f t="shared" si="12"/>
        <v>60+</v>
      </c>
      <c r="K220" t="str">
        <f t="shared" si="13"/>
        <v>domingo-08</v>
      </c>
      <c r="L220">
        <f t="shared" si="14"/>
        <v>2023</v>
      </c>
      <c r="M220" t="str">
        <f t="shared" si="15"/>
        <v>T3-2023</v>
      </c>
    </row>
    <row r="221" spans="1:13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 t="str">
        <f t="shared" si="12"/>
        <v>60+</v>
      </c>
      <c r="K221" t="str">
        <f t="shared" si="13"/>
        <v>viernes-03</v>
      </c>
      <c r="L221">
        <f t="shared" si="14"/>
        <v>2023</v>
      </c>
      <c r="M221" t="str">
        <f t="shared" si="15"/>
        <v>T1-2023</v>
      </c>
    </row>
    <row r="222" spans="1:13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 t="str">
        <f t="shared" si="12"/>
        <v>60+</v>
      </c>
      <c r="K222" t="str">
        <f t="shared" si="13"/>
        <v>domingo-05</v>
      </c>
      <c r="L222">
        <f t="shared" si="14"/>
        <v>2023</v>
      </c>
      <c r="M222" t="str">
        <f t="shared" si="15"/>
        <v>T2-2023</v>
      </c>
    </row>
    <row r="223" spans="1:13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 t="str">
        <f t="shared" si="12"/>
        <v>60+</v>
      </c>
      <c r="K223" t="str">
        <f t="shared" si="13"/>
        <v>miércoles-04</v>
      </c>
      <c r="L223">
        <f t="shared" si="14"/>
        <v>2023</v>
      </c>
      <c r="M223" t="str">
        <f t="shared" si="15"/>
        <v>T2-2023</v>
      </c>
    </row>
    <row r="224" spans="1:13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 t="str">
        <f t="shared" si="12"/>
        <v>60+</v>
      </c>
      <c r="K224" t="str">
        <f t="shared" si="13"/>
        <v>jueves-02</v>
      </c>
      <c r="L224">
        <f t="shared" si="14"/>
        <v>2023</v>
      </c>
      <c r="M224" t="str">
        <f t="shared" si="15"/>
        <v>T1-2023</v>
      </c>
    </row>
    <row r="225" spans="1:13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 t="str">
        <f t="shared" si="12"/>
        <v>60+</v>
      </c>
      <c r="K225" t="str">
        <f t="shared" si="13"/>
        <v>viernes-06</v>
      </c>
      <c r="L225">
        <f t="shared" si="14"/>
        <v>2023</v>
      </c>
      <c r="M225" t="str">
        <f t="shared" si="15"/>
        <v>T2-2023</v>
      </c>
    </row>
    <row r="226" spans="1:13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 t="str">
        <f t="shared" si="12"/>
        <v>60+</v>
      </c>
      <c r="K226" t="str">
        <f t="shared" si="13"/>
        <v>miércoles-01</v>
      </c>
      <c r="L226">
        <f t="shared" si="14"/>
        <v>2023</v>
      </c>
      <c r="M226" t="str">
        <f t="shared" si="15"/>
        <v>T1-2023</v>
      </c>
    </row>
    <row r="227" spans="1:13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 t="str">
        <f t="shared" si="12"/>
        <v>60+</v>
      </c>
      <c r="K227" t="str">
        <f t="shared" si="13"/>
        <v>domingo-10</v>
      </c>
      <c r="L227">
        <f t="shared" si="14"/>
        <v>2023</v>
      </c>
      <c r="M227" t="str">
        <f t="shared" si="15"/>
        <v>T4-2023</v>
      </c>
    </row>
    <row r="228" spans="1:13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 t="str">
        <f t="shared" si="12"/>
        <v>60+</v>
      </c>
      <c r="K228" t="str">
        <f t="shared" si="13"/>
        <v>miércoles-10</v>
      </c>
      <c r="L228">
        <f t="shared" si="14"/>
        <v>2023</v>
      </c>
      <c r="M228" t="str">
        <f t="shared" si="15"/>
        <v>T4-2023</v>
      </c>
    </row>
    <row r="229" spans="1:13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 t="str">
        <f t="shared" si="12"/>
        <v>60+</v>
      </c>
      <c r="K229" t="str">
        <f t="shared" si="13"/>
        <v>viernes-04</v>
      </c>
      <c r="L229">
        <f t="shared" si="14"/>
        <v>2023</v>
      </c>
      <c r="M229" t="str">
        <f t="shared" si="15"/>
        <v>T2-2023</v>
      </c>
    </row>
    <row r="230" spans="1:13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 t="str">
        <f t="shared" si="12"/>
        <v>60+</v>
      </c>
      <c r="K230" t="str">
        <f t="shared" si="13"/>
        <v>domingo-10</v>
      </c>
      <c r="L230">
        <f t="shared" si="14"/>
        <v>2023</v>
      </c>
      <c r="M230" t="str">
        <f t="shared" si="15"/>
        <v>T4-2023</v>
      </c>
    </row>
    <row r="231" spans="1:13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 t="str">
        <f t="shared" si="12"/>
        <v>60+</v>
      </c>
      <c r="K231" t="str">
        <f t="shared" si="13"/>
        <v>domingo-04</v>
      </c>
      <c r="L231">
        <f t="shared" si="14"/>
        <v>2023</v>
      </c>
      <c r="M231" t="str">
        <f t="shared" si="15"/>
        <v>T2-2023</v>
      </c>
    </row>
    <row r="232" spans="1:13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 t="str">
        <f t="shared" si="12"/>
        <v>60+</v>
      </c>
      <c r="K232" t="str">
        <f t="shared" si="13"/>
        <v>miércoles-01</v>
      </c>
      <c r="L232">
        <f t="shared" si="14"/>
        <v>2023</v>
      </c>
      <c r="M232" t="str">
        <f t="shared" si="15"/>
        <v>T1-2023</v>
      </c>
    </row>
    <row r="233" spans="1:13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 t="str">
        <f t="shared" si="12"/>
        <v>60+</v>
      </c>
      <c r="K233" t="str">
        <f t="shared" si="13"/>
        <v>lunes-02</v>
      </c>
      <c r="L233">
        <f t="shared" si="14"/>
        <v>2023</v>
      </c>
      <c r="M233" t="str">
        <f t="shared" si="15"/>
        <v>T1-2023</v>
      </c>
    </row>
    <row r="234" spans="1:13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 t="str">
        <f t="shared" si="12"/>
        <v>60+</v>
      </c>
      <c r="K234" t="str">
        <f t="shared" si="13"/>
        <v>viernes-12</v>
      </c>
      <c r="L234">
        <f t="shared" si="14"/>
        <v>2023</v>
      </c>
      <c r="M234" t="str">
        <f t="shared" si="15"/>
        <v>T4-2023</v>
      </c>
    </row>
    <row r="235" spans="1:13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 t="str">
        <f t="shared" si="12"/>
        <v>60+</v>
      </c>
      <c r="K235" t="str">
        <f t="shared" si="13"/>
        <v>lunes-11</v>
      </c>
      <c r="L235">
        <f t="shared" si="14"/>
        <v>2023</v>
      </c>
      <c r="M235" t="str">
        <f t="shared" si="15"/>
        <v>T4-2023</v>
      </c>
    </row>
    <row r="236" spans="1:13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 t="str">
        <f t="shared" si="12"/>
        <v>60+</v>
      </c>
      <c r="K236" t="str">
        <f t="shared" si="13"/>
        <v>martes-01</v>
      </c>
      <c r="L236">
        <f t="shared" si="14"/>
        <v>2023</v>
      </c>
      <c r="M236" t="str">
        <f t="shared" si="15"/>
        <v>T1-2023</v>
      </c>
    </row>
    <row r="237" spans="1:13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 t="str">
        <f t="shared" si="12"/>
        <v>60+</v>
      </c>
      <c r="K237" t="str">
        <f t="shared" si="13"/>
        <v>viernes-04</v>
      </c>
      <c r="L237">
        <f t="shared" si="14"/>
        <v>2023</v>
      </c>
      <c r="M237" t="str">
        <f t="shared" si="15"/>
        <v>T2-2023</v>
      </c>
    </row>
    <row r="238" spans="1:13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 t="str">
        <f t="shared" si="12"/>
        <v>60+</v>
      </c>
      <c r="K238" t="str">
        <f t="shared" si="13"/>
        <v>sábado-02</v>
      </c>
      <c r="L238">
        <f t="shared" si="14"/>
        <v>2023</v>
      </c>
      <c r="M238" t="str">
        <f t="shared" si="15"/>
        <v>T1-2023</v>
      </c>
    </row>
    <row r="239" spans="1:13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 t="str">
        <f t="shared" si="12"/>
        <v>60+</v>
      </c>
      <c r="K239" t="str">
        <f t="shared" si="13"/>
        <v>martes-01</v>
      </c>
      <c r="L239">
        <f t="shared" si="14"/>
        <v>2023</v>
      </c>
      <c r="M239" t="str">
        <f t="shared" si="15"/>
        <v>T1-2023</v>
      </c>
    </row>
    <row r="240" spans="1:13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 t="str">
        <f t="shared" si="12"/>
        <v>60+</v>
      </c>
      <c r="K240" t="str">
        <f t="shared" si="13"/>
        <v>lunes-06</v>
      </c>
      <c r="L240">
        <f t="shared" si="14"/>
        <v>2023</v>
      </c>
      <c r="M240" t="str">
        <f t="shared" si="15"/>
        <v>T2-2023</v>
      </c>
    </row>
    <row r="241" spans="1:13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 t="str">
        <f t="shared" si="12"/>
        <v>60+</v>
      </c>
      <c r="K241" t="str">
        <f t="shared" si="13"/>
        <v>lunes-02</v>
      </c>
      <c r="L241">
        <f t="shared" si="14"/>
        <v>2023</v>
      </c>
      <c r="M241" t="str">
        <f t="shared" si="15"/>
        <v>T1-2023</v>
      </c>
    </row>
    <row r="242" spans="1:13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 t="str">
        <f t="shared" si="12"/>
        <v>60+</v>
      </c>
      <c r="K242" t="str">
        <f t="shared" si="13"/>
        <v>jueves-09</v>
      </c>
      <c r="L242">
        <f t="shared" si="14"/>
        <v>2023</v>
      </c>
      <c r="M242" t="str">
        <f t="shared" si="15"/>
        <v>T3-2023</v>
      </c>
    </row>
    <row r="243" spans="1:13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 t="str">
        <f t="shared" si="12"/>
        <v>60+</v>
      </c>
      <c r="K243" t="str">
        <f t="shared" si="13"/>
        <v>martes-05</v>
      </c>
      <c r="L243">
        <f t="shared" si="14"/>
        <v>2023</v>
      </c>
      <c r="M243" t="str">
        <f t="shared" si="15"/>
        <v>T2-2023</v>
      </c>
    </row>
    <row r="244" spans="1:13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 t="str">
        <f t="shared" si="12"/>
        <v>60+</v>
      </c>
      <c r="K244" t="str">
        <f t="shared" si="13"/>
        <v>martes-05</v>
      </c>
      <c r="L244">
        <f t="shared" si="14"/>
        <v>2023</v>
      </c>
      <c r="M244" t="str">
        <f t="shared" si="15"/>
        <v>T2-2023</v>
      </c>
    </row>
    <row r="245" spans="1:13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 t="str">
        <f t="shared" si="12"/>
        <v>60+</v>
      </c>
      <c r="K245" t="str">
        <f t="shared" si="13"/>
        <v>sábado-12</v>
      </c>
      <c r="L245">
        <f t="shared" si="14"/>
        <v>2023</v>
      </c>
      <c r="M245" t="str">
        <f t="shared" si="15"/>
        <v>T4-2023</v>
      </c>
    </row>
    <row r="246" spans="1:13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 t="str">
        <f t="shared" si="12"/>
        <v>60+</v>
      </c>
      <c r="K246" t="str">
        <f t="shared" si="13"/>
        <v>miércoles-09</v>
      </c>
      <c r="L246">
        <f t="shared" si="14"/>
        <v>2023</v>
      </c>
      <c r="M246" t="str">
        <f t="shared" si="15"/>
        <v>T3-2023</v>
      </c>
    </row>
    <row r="247" spans="1:13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 t="str">
        <f t="shared" si="12"/>
        <v>60+</v>
      </c>
      <c r="K247" t="str">
        <f t="shared" si="13"/>
        <v>jueves-04</v>
      </c>
      <c r="L247">
        <f t="shared" si="14"/>
        <v>2023</v>
      </c>
      <c r="M247" t="str">
        <f t="shared" si="15"/>
        <v>T2-2023</v>
      </c>
    </row>
    <row r="248" spans="1:13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 t="str">
        <f t="shared" si="12"/>
        <v>60+</v>
      </c>
      <c r="K248" t="str">
        <f t="shared" si="13"/>
        <v>miércoles-10</v>
      </c>
      <c r="L248">
        <f t="shared" si="14"/>
        <v>2023</v>
      </c>
      <c r="M248" t="str">
        <f t="shared" si="15"/>
        <v>T4-2023</v>
      </c>
    </row>
    <row r="249" spans="1:13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 t="str">
        <f t="shared" si="12"/>
        <v>60+</v>
      </c>
      <c r="K249" t="str">
        <f t="shared" si="13"/>
        <v>jueves-03</v>
      </c>
      <c r="L249">
        <f t="shared" si="14"/>
        <v>2023</v>
      </c>
      <c r="M249" t="str">
        <f t="shared" si="15"/>
        <v>T1-2023</v>
      </c>
    </row>
    <row r="250" spans="1:13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 t="str">
        <f t="shared" si="12"/>
        <v>60+</v>
      </c>
      <c r="K250" t="str">
        <f t="shared" si="13"/>
        <v>viernes-10</v>
      </c>
      <c r="L250">
        <f t="shared" si="14"/>
        <v>2023</v>
      </c>
      <c r="M250" t="str">
        <f t="shared" si="15"/>
        <v>T4-2023</v>
      </c>
    </row>
    <row r="251" spans="1:13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 t="str">
        <f t="shared" si="12"/>
        <v>60+</v>
      </c>
      <c r="K251" t="str">
        <f t="shared" si="13"/>
        <v>lunes-10</v>
      </c>
      <c r="L251">
        <f t="shared" si="14"/>
        <v>2023</v>
      </c>
      <c r="M251" t="str">
        <f t="shared" si="15"/>
        <v>T4-2023</v>
      </c>
    </row>
    <row r="252" spans="1:13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 t="str">
        <f t="shared" si="12"/>
        <v>60+</v>
      </c>
      <c r="K252" t="str">
        <f t="shared" si="13"/>
        <v>jueves-08</v>
      </c>
      <c r="L252">
        <f t="shared" si="14"/>
        <v>2023</v>
      </c>
      <c r="M252" t="str">
        <f t="shared" si="15"/>
        <v>T3-2023</v>
      </c>
    </row>
    <row r="253" spans="1:13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 t="str">
        <f t="shared" si="12"/>
        <v>60+</v>
      </c>
      <c r="K253" t="str">
        <f t="shared" si="13"/>
        <v>viernes-05</v>
      </c>
      <c r="L253">
        <f t="shared" si="14"/>
        <v>2023</v>
      </c>
      <c r="M253" t="str">
        <f t="shared" si="15"/>
        <v>T2-2023</v>
      </c>
    </row>
    <row r="254" spans="1:13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 t="str">
        <f t="shared" si="12"/>
        <v>60+</v>
      </c>
      <c r="K254" t="str">
        <f t="shared" si="13"/>
        <v>jueves-08</v>
      </c>
      <c r="L254">
        <f t="shared" si="14"/>
        <v>2023</v>
      </c>
      <c r="M254" t="str">
        <f t="shared" si="15"/>
        <v>T3-2023</v>
      </c>
    </row>
    <row r="255" spans="1:13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 t="str">
        <f t="shared" si="12"/>
        <v>60+</v>
      </c>
      <c r="K255" t="str">
        <f t="shared" si="13"/>
        <v>viernes-07</v>
      </c>
      <c r="L255">
        <f t="shared" si="14"/>
        <v>2023</v>
      </c>
      <c r="M255" t="str">
        <f t="shared" si="15"/>
        <v>T3-2023</v>
      </c>
    </row>
    <row r="256" spans="1:13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 t="str">
        <f t="shared" si="12"/>
        <v>60+</v>
      </c>
      <c r="K256" t="str">
        <f t="shared" si="13"/>
        <v>sábado-04</v>
      </c>
      <c r="L256">
        <f t="shared" si="14"/>
        <v>2023</v>
      </c>
      <c r="M256" t="str">
        <f t="shared" si="15"/>
        <v>T2-2023</v>
      </c>
    </row>
    <row r="257" spans="1:13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 t="str">
        <f t="shared" si="12"/>
        <v>60+</v>
      </c>
      <c r="K257" t="str">
        <f t="shared" si="13"/>
        <v>sábado-02</v>
      </c>
      <c r="L257">
        <f t="shared" si="14"/>
        <v>2023</v>
      </c>
      <c r="M257" t="str">
        <f t="shared" si="15"/>
        <v>T1-2023</v>
      </c>
    </row>
    <row r="258" spans="1:13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 t="str">
        <f t="shared" si="12"/>
        <v>60+</v>
      </c>
      <c r="K258" t="str">
        <f t="shared" si="13"/>
        <v>domingo-02</v>
      </c>
      <c r="L258">
        <f t="shared" si="14"/>
        <v>2023</v>
      </c>
      <c r="M258" t="str">
        <f t="shared" si="15"/>
        <v>T1-2023</v>
      </c>
    </row>
    <row r="259" spans="1:13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 t="str">
        <f t="shared" ref="J259:J322" si="16">IF(D259&lt;30,"18-29",IF(D259&lt;45,"30-44",IF(D259&lt;60,"45-59","60+")))</f>
        <v>60+</v>
      </c>
      <c r="K259" t="str">
        <f t="shared" ref="K259:K322" si="17">TEXT(B259,"AAAA-MM")</f>
        <v>lunes-12</v>
      </c>
      <c r="L259">
        <f t="shared" ref="L259:L322" si="18">YEAR(B259)</f>
        <v>2023</v>
      </c>
      <c r="M259" t="str">
        <f t="shared" ref="M259:M322" si="19">"T"&amp;INT((MONTH(B259)-1)/3+1)&amp;"-"&amp;YEAR(B259)</f>
        <v>T4-2023</v>
      </c>
    </row>
    <row r="260" spans="1:13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 t="str">
        <f t="shared" si="16"/>
        <v>60+</v>
      </c>
      <c r="K260" t="str">
        <f t="shared" si="17"/>
        <v>miércoles-08</v>
      </c>
      <c r="L260">
        <f t="shared" si="18"/>
        <v>2023</v>
      </c>
      <c r="M260" t="str">
        <f t="shared" si="19"/>
        <v>T3-2023</v>
      </c>
    </row>
    <row r="261" spans="1:13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 t="str">
        <f t="shared" si="16"/>
        <v>60+</v>
      </c>
      <c r="K261" t="str">
        <f t="shared" si="17"/>
        <v>sábado-07</v>
      </c>
      <c r="L261">
        <f t="shared" si="18"/>
        <v>2023</v>
      </c>
      <c r="M261" t="str">
        <f t="shared" si="19"/>
        <v>T3-2023</v>
      </c>
    </row>
    <row r="262" spans="1:13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 t="str">
        <f t="shared" si="16"/>
        <v>60+</v>
      </c>
      <c r="K262" t="str">
        <f t="shared" si="17"/>
        <v>sábado-08</v>
      </c>
      <c r="L262">
        <f t="shared" si="18"/>
        <v>2023</v>
      </c>
      <c r="M262" t="str">
        <f t="shared" si="19"/>
        <v>T3-2023</v>
      </c>
    </row>
    <row r="263" spans="1:13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 t="str">
        <f t="shared" si="16"/>
        <v>60+</v>
      </c>
      <c r="K263" t="str">
        <f t="shared" si="17"/>
        <v>domingo-07</v>
      </c>
      <c r="L263">
        <f t="shared" si="18"/>
        <v>2023</v>
      </c>
      <c r="M263" t="str">
        <f t="shared" si="19"/>
        <v>T3-2023</v>
      </c>
    </row>
    <row r="264" spans="1:13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 t="str">
        <f t="shared" si="16"/>
        <v>60+</v>
      </c>
      <c r="K264" t="str">
        <f t="shared" si="17"/>
        <v>lunes-08</v>
      </c>
      <c r="L264">
        <f t="shared" si="18"/>
        <v>2023</v>
      </c>
      <c r="M264" t="str">
        <f t="shared" si="19"/>
        <v>T3-2023</v>
      </c>
    </row>
    <row r="265" spans="1:13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 t="str">
        <f t="shared" si="16"/>
        <v>60+</v>
      </c>
      <c r="K265" t="str">
        <f t="shared" si="17"/>
        <v>sábado-01</v>
      </c>
      <c r="L265">
        <f t="shared" si="18"/>
        <v>2023</v>
      </c>
      <c r="M265" t="str">
        <f t="shared" si="19"/>
        <v>T1-2023</v>
      </c>
    </row>
    <row r="266" spans="1:13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 t="str">
        <f t="shared" si="16"/>
        <v>60+</v>
      </c>
      <c r="K266" t="str">
        <f t="shared" si="17"/>
        <v>lunes-12</v>
      </c>
      <c r="L266">
        <f t="shared" si="18"/>
        <v>2023</v>
      </c>
      <c r="M266" t="str">
        <f t="shared" si="19"/>
        <v>T4-2023</v>
      </c>
    </row>
    <row r="267" spans="1:13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 t="str">
        <f t="shared" si="16"/>
        <v>60+</v>
      </c>
      <c r="K267" t="str">
        <f t="shared" si="17"/>
        <v>viernes-12</v>
      </c>
      <c r="L267">
        <f t="shared" si="18"/>
        <v>2023</v>
      </c>
      <c r="M267" t="str">
        <f t="shared" si="19"/>
        <v>T4-2023</v>
      </c>
    </row>
    <row r="268" spans="1:13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 t="str">
        <f t="shared" si="16"/>
        <v>60+</v>
      </c>
      <c r="K268" t="str">
        <f t="shared" si="17"/>
        <v>lunes-11</v>
      </c>
      <c r="L268">
        <f t="shared" si="18"/>
        <v>2023</v>
      </c>
      <c r="M268" t="str">
        <f t="shared" si="19"/>
        <v>T4-2023</v>
      </c>
    </row>
    <row r="269" spans="1:13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 t="str">
        <f t="shared" si="16"/>
        <v>60+</v>
      </c>
      <c r="K269" t="str">
        <f t="shared" si="17"/>
        <v>lunes-02</v>
      </c>
      <c r="L269">
        <f t="shared" si="18"/>
        <v>2023</v>
      </c>
      <c r="M269" t="str">
        <f t="shared" si="19"/>
        <v>T1-2023</v>
      </c>
    </row>
    <row r="270" spans="1:13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 t="str">
        <f t="shared" si="16"/>
        <v>60+</v>
      </c>
      <c r="K270" t="str">
        <f t="shared" si="17"/>
        <v>miércoles-02</v>
      </c>
      <c r="L270">
        <f t="shared" si="18"/>
        <v>2023</v>
      </c>
      <c r="M270" t="str">
        <f t="shared" si="19"/>
        <v>T1-2023</v>
      </c>
    </row>
    <row r="271" spans="1:13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 t="str">
        <f t="shared" si="16"/>
        <v>60+</v>
      </c>
      <c r="K271" t="str">
        <f t="shared" si="17"/>
        <v>miércoles-07</v>
      </c>
      <c r="L271">
        <f t="shared" si="18"/>
        <v>2023</v>
      </c>
      <c r="M271" t="str">
        <f t="shared" si="19"/>
        <v>T3-2023</v>
      </c>
    </row>
    <row r="272" spans="1:13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 t="str">
        <f t="shared" si="16"/>
        <v>60+</v>
      </c>
      <c r="K272" t="str">
        <f t="shared" si="17"/>
        <v>viernes-06</v>
      </c>
      <c r="L272">
        <f t="shared" si="18"/>
        <v>2023</v>
      </c>
      <c r="M272" t="str">
        <f t="shared" si="19"/>
        <v>T2-2023</v>
      </c>
    </row>
    <row r="273" spans="1:13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 t="str">
        <f t="shared" si="16"/>
        <v>60+</v>
      </c>
      <c r="K273" t="str">
        <f t="shared" si="17"/>
        <v>sábado-02</v>
      </c>
      <c r="L273">
        <f t="shared" si="18"/>
        <v>2023</v>
      </c>
      <c r="M273" t="str">
        <f t="shared" si="19"/>
        <v>T1-2023</v>
      </c>
    </row>
    <row r="274" spans="1:13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 t="str">
        <f t="shared" si="16"/>
        <v>60+</v>
      </c>
      <c r="K274" t="str">
        <f t="shared" si="17"/>
        <v>lunes-05</v>
      </c>
      <c r="L274">
        <f t="shared" si="18"/>
        <v>2023</v>
      </c>
      <c r="M274" t="str">
        <f t="shared" si="19"/>
        <v>T2-2023</v>
      </c>
    </row>
    <row r="275" spans="1:13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 t="str">
        <f t="shared" si="16"/>
        <v>60+</v>
      </c>
      <c r="K275" t="str">
        <f t="shared" si="17"/>
        <v>domingo-04</v>
      </c>
      <c r="L275">
        <f t="shared" si="18"/>
        <v>2023</v>
      </c>
      <c r="M275" t="str">
        <f t="shared" si="19"/>
        <v>T2-2023</v>
      </c>
    </row>
    <row r="276" spans="1:13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 t="str">
        <f t="shared" si="16"/>
        <v>60+</v>
      </c>
      <c r="K276" t="str">
        <f t="shared" si="17"/>
        <v>sábado-04</v>
      </c>
      <c r="L276">
        <f t="shared" si="18"/>
        <v>2023</v>
      </c>
      <c r="M276" t="str">
        <f t="shared" si="19"/>
        <v>T2-2023</v>
      </c>
    </row>
    <row r="277" spans="1:13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 t="str">
        <f t="shared" si="16"/>
        <v>60+</v>
      </c>
      <c r="K277" t="str">
        <f t="shared" si="17"/>
        <v>lunes-10</v>
      </c>
      <c r="L277">
        <f t="shared" si="18"/>
        <v>2023</v>
      </c>
      <c r="M277" t="str">
        <f t="shared" si="19"/>
        <v>T4-2023</v>
      </c>
    </row>
    <row r="278" spans="1:13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 t="str">
        <f t="shared" si="16"/>
        <v>60+</v>
      </c>
      <c r="K278" t="str">
        <f t="shared" si="17"/>
        <v>viernes-08</v>
      </c>
      <c r="L278">
        <f t="shared" si="18"/>
        <v>2023</v>
      </c>
      <c r="M278" t="str">
        <f t="shared" si="19"/>
        <v>T3-2023</v>
      </c>
    </row>
    <row r="279" spans="1:13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 t="str">
        <f t="shared" si="16"/>
        <v>60+</v>
      </c>
      <c r="K279" t="str">
        <f t="shared" si="17"/>
        <v>lunes-03</v>
      </c>
      <c r="L279">
        <f t="shared" si="18"/>
        <v>2023</v>
      </c>
      <c r="M279" t="str">
        <f t="shared" si="19"/>
        <v>T1-2023</v>
      </c>
    </row>
    <row r="280" spans="1:13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 t="str">
        <f t="shared" si="16"/>
        <v>60+</v>
      </c>
      <c r="K280" t="str">
        <f t="shared" si="17"/>
        <v>sábado-08</v>
      </c>
      <c r="L280">
        <f t="shared" si="18"/>
        <v>2023</v>
      </c>
      <c r="M280" t="str">
        <f t="shared" si="19"/>
        <v>T3-2023</v>
      </c>
    </row>
    <row r="281" spans="1:13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 t="str">
        <f t="shared" si="16"/>
        <v>60+</v>
      </c>
      <c r="K281" t="str">
        <f t="shared" si="17"/>
        <v>martes-04</v>
      </c>
      <c r="L281">
        <f t="shared" si="18"/>
        <v>2023</v>
      </c>
      <c r="M281" t="str">
        <f t="shared" si="19"/>
        <v>T2-2023</v>
      </c>
    </row>
    <row r="282" spans="1:13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 t="str">
        <f t="shared" si="16"/>
        <v>60+</v>
      </c>
      <c r="K282" t="str">
        <f t="shared" si="17"/>
        <v>martes-05</v>
      </c>
      <c r="L282">
        <f t="shared" si="18"/>
        <v>2023</v>
      </c>
      <c r="M282" t="str">
        <f t="shared" si="19"/>
        <v>T2-2023</v>
      </c>
    </row>
    <row r="283" spans="1:13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 t="str">
        <f t="shared" si="16"/>
        <v>60+</v>
      </c>
      <c r="K283" t="str">
        <f t="shared" si="17"/>
        <v>viernes-08</v>
      </c>
      <c r="L283">
        <f t="shared" si="18"/>
        <v>2023</v>
      </c>
      <c r="M283" t="str">
        <f t="shared" si="19"/>
        <v>T3-2023</v>
      </c>
    </row>
    <row r="284" spans="1:13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 t="str">
        <f t="shared" si="16"/>
        <v>60+</v>
      </c>
      <c r="K284" t="str">
        <f t="shared" si="17"/>
        <v>lunes-05</v>
      </c>
      <c r="L284">
        <f t="shared" si="18"/>
        <v>2023</v>
      </c>
      <c r="M284" t="str">
        <f t="shared" si="19"/>
        <v>T2-2023</v>
      </c>
    </row>
    <row r="285" spans="1:13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 t="str">
        <f t="shared" si="16"/>
        <v>60+</v>
      </c>
      <c r="K285" t="str">
        <f t="shared" si="17"/>
        <v>miércoles-02</v>
      </c>
      <c r="L285">
        <f t="shared" si="18"/>
        <v>2023</v>
      </c>
      <c r="M285" t="str">
        <f t="shared" si="19"/>
        <v>T1-2023</v>
      </c>
    </row>
    <row r="286" spans="1:13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 t="str">
        <f t="shared" si="16"/>
        <v>60+</v>
      </c>
      <c r="K286" t="str">
        <f t="shared" si="17"/>
        <v>martes-08</v>
      </c>
      <c r="L286">
        <f t="shared" si="18"/>
        <v>2023</v>
      </c>
      <c r="M286" t="str">
        <f t="shared" si="19"/>
        <v>T3-2023</v>
      </c>
    </row>
    <row r="287" spans="1:13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 t="str">
        <f t="shared" si="16"/>
        <v>60+</v>
      </c>
      <c r="K287" t="str">
        <f t="shared" si="17"/>
        <v>lunes-10</v>
      </c>
      <c r="L287">
        <f t="shared" si="18"/>
        <v>2023</v>
      </c>
      <c r="M287" t="str">
        <f t="shared" si="19"/>
        <v>T4-2023</v>
      </c>
    </row>
    <row r="288" spans="1:13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 t="str">
        <f t="shared" si="16"/>
        <v>60+</v>
      </c>
      <c r="K288" t="str">
        <f t="shared" si="17"/>
        <v>lunes-02</v>
      </c>
      <c r="L288">
        <f t="shared" si="18"/>
        <v>2023</v>
      </c>
      <c r="M288" t="str">
        <f t="shared" si="19"/>
        <v>T1-2023</v>
      </c>
    </row>
    <row r="289" spans="1:13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 t="str">
        <f t="shared" si="16"/>
        <v>60+</v>
      </c>
      <c r="K289" t="str">
        <f t="shared" si="17"/>
        <v>jueves-01</v>
      </c>
      <c r="L289">
        <f t="shared" si="18"/>
        <v>2023</v>
      </c>
      <c r="M289" t="str">
        <f t="shared" si="19"/>
        <v>T1-2023</v>
      </c>
    </row>
    <row r="290" spans="1:13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 t="str">
        <f t="shared" si="16"/>
        <v>60+</v>
      </c>
      <c r="K290" t="str">
        <f t="shared" si="17"/>
        <v>jueves-11</v>
      </c>
      <c r="L290">
        <f t="shared" si="18"/>
        <v>2023</v>
      </c>
      <c r="M290" t="str">
        <f t="shared" si="19"/>
        <v>T4-2023</v>
      </c>
    </row>
    <row r="291" spans="1:13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 t="str">
        <f t="shared" si="16"/>
        <v>60+</v>
      </c>
      <c r="K291" t="str">
        <f t="shared" si="17"/>
        <v>miércoles-10</v>
      </c>
      <c r="L291">
        <f t="shared" si="18"/>
        <v>2023</v>
      </c>
      <c r="M291" t="str">
        <f t="shared" si="19"/>
        <v>T4-2023</v>
      </c>
    </row>
    <row r="292" spans="1:13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 t="str">
        <f t="shared" si="16"/>
        <v>60+</v>
      </c>
      <c r="K292" t="str">
        <f t="shared" si="17"/>
        <v>domingo-01</v>
      </c>
      <c r="L292">
        <f t="shared" si="18"/>
        <v>2023</v>
      </c>
      <c r="M292" t="str">
        <f t="shared" si="19"/>
        <v>T1-2023</v>
      </c>
    </row>
    <row r="293" spans="1:13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 t="str">
        <f t="shared" si="16"/>
        <v>60+</v>
      </c>
      <c r="K293" t="str">
        <f t="shared" si="17"/>
        <v>viernes-02</v>
      </c>
      <c r="L293">
        <f t="shared" si="18"/>
        <v>2023</v>
      </c>
      <c r="M293" t="str">
        <f t="shared" si="19"/>
        <v>T1-2023</v>
      </c>
    </row>
    <row r="294" spans="1:13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 t="str">
        <f t="shared" si="16"/>
        <v>60+</v>
      </c>
      <c r="K294" t="str">
        <f t="shared" si="17"/>
        <v>martes-05</v>
      </c>
      <c r="L294">
        <f t="shared" si="18"/>
        <v>2023</v>
      </c>
      <c r="M294" t="str">
        <f t="shared" si="19"/>
        <v>T2-2023</v>
      </c>
    </row>
    <row r="295" spans="1:13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 t="str">
        <f t="shared" si="16"/>
        <v>60+</v>
      </c>
      <c r="K295" t="str">
        <f t="shared" si="17"/>
        <v>lunes-03</v>
      </c>
      <c r="L295">
        <f t="shared" si="18"/>
        <v>2023</v>
      </c>
      <c r="M295" t="str">
        <f t="shared" si="19"/>
        <v>T1-2023</v>
      </c>
    </row>
    <row r="296" spans="1:13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 t="str">
        <f t="shared" si="16"/>
        <v>60+</v>
      </c>
      <c r="K296" t="str">
        <f t="shared" si="17"/>
        <v>viernes-07</v>
      </c>
      <c r="L296">
        <f t="shared" si="18"/>
        <v>2023</v>
      </c>
      <c r="M296" t="str">
        <f t="shared" si="19"/>
        <v>T3-2023</v>
      </c>
    </row>
    <row r="297" spans="1:13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 t="str">
        <f t="shared" si="16"/>
        <v>60+</v>
      </c>
      <c r="K297" t="str">
        <f t="shared" si="17"/>
        <v>miércoles-09</v>
      </c>
      <c r="L297">
        <f t="shared" si="18"/>
        <v>2023</v>
      </c>
      <c r="M297" t="str">
        <f t="shared" si="19"/>
        <v>T3-2023</v>
      </c>
    </row>
    <row r="298" spans="1:13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 t="str">
        <f t="shared" si="16"/>
        <v>60+</v>
      </c>
      <c r="K298" t="str">
        <f t="shared" si="17"/>
        <v>lunes-09</v>
      </c>
      <c r="L298">
        <f t="shared" si="18"/>
        <v>2023</v>
      </c>
      <c r="M298" t="str">
        <f t="shared" si="19"/>
        <v>T3-2023</v>
      </c>
    </row>
    <row r="299" spans="1:13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 t="str">
        <f t="shared" si="16"/>
        <v>60+</v>
      </c>
      <c r="K299" t="str">
        <f t="shared" si="17"/>
        <v>jueves-04</v>
      </c>
      <c r="L299">
        <f t="shared" si="18"/>
        <v>2023</v>
      </c>
      <c r="M299" t="str">
        <f t="shared" si="19"/>
        <v>T2-2023</v>
      </c>
    </row>
    <row r="300" spans="1:13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 t="str">
        <f t="shared" si="16"/>
        <v>60+</v>
      </c>
      <c r="K300" t="str">
        <f t="shared" si="17"/>
        <v>martes-07</v>
      </c>
      <c r="L300">
        <f t="shared" si="18"/>
        <v>2023</v>
      </c>
      <c r="M300" t="str">
        <f t="shared" si="19"/>
        <v>T3-2023</v>
      </c>
    </row>
    <row r="301" spans="1:13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 t="str">
        <f t="shared" si="16"/>
        <v>60+</v>
      </c>
      <c r="K301" t="str">
        <f t="shared" si="17"/>
        <v>martes-01</v>
      </c>
      <c r="L301">
        <f t="shared" si="18"/>
        <v>2023</v>
      </c>
      <c r="M301" t="str">
        <f t="shared" si="19"/>
        <v>T1-2023</v>
      </c>
    </row>
    <row r="302" spans="1:13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 t="str">
        <f t="shared" si="16"/>
        <v>60+</v>
      </c>
      <c r="K302" t="str">
        <f t="shared" si="17"/>
        <v>domingo-03</v>
      </c>
      <c r="L302">
        <f t="shared" si="18"/>
        <v>2023</v>
      </c>
      <c r="M302" t="str">
        <f t="shared" si="19"/>
        <v>T1-2023</v>
      </c>
    </row>
    <row r="303" spans="1:13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 t="str">
        <f t="shared" si="16"/>
        <v>60+</v>
      </c>
      <c r="K303" t="str">
        <f t="shared" si="17"/>
        <v>viernes-07</v>
      </c>
      <c r="L303">
        <f t="shared" si="18"/>
        <v>2023</v>
      </c>
      <c r="M303" t="str">
        <f t="shared" si="19"/>
        <v>T3-2023</v>
      </c>
    </row>
    <row r="304" spans="1:13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 t="str">
        <f t="shared" si="16"/>
        <v>60+</v>
      </c>
      <c r="K304" t="str">
        <f t="shared" si="17"/>
        <v>lunes-01</v>
      </c>
      <c r="L304">
        <f t="shared" si="18"/>
        <v>2023</v>
      </c>
      <c r="M304" t="str">
        <f t="shared" si="19"/>
        <v>T1-2023</v>
      </c>
    </row>
    <row r="305" spans="1:13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 t="str">
        <f t="shared" si="16"/>
        <v>60+</v>
      </c>
      <c r="K305" t="str">
        <f t="shared" si="17"/>
        <v>miércoles-07</v>
      </c>
      <c r="L305">
        <f t="shared" si="18"/>
        <v>2023</v>
      </c>
      <c r="M305" t="str">
        <f t="shared" si="19"/>
        <v>T3-2023</v>
      </c>
    </row>
    <row r="306" spans="1:13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 t="str">
        <f t="shared" si="16"/>
        <v>60+</v>
      </c>
      <c r="K306" t="str">
        <f t="shared" si="17"/>
        <v>martes-05</v>
      </c>
      <c r="L306">
        <f t="shared" si="18"/>
        <v>2023</v>
      </c>
      <c r="M306" t="str">
        <f t="shared" si="19"/>
        <v>T2-2023</v>
      </c>
    </row>
    <row r="307" spans="1:13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 t="str">
        <f t="shared" si="16"/>
        <v>60+</v>
      </c>
      <c r="K307" t="str">
        <f t="shared" si="17"/>
        <v>lunes-08</v>
      </c>
      <c r="L307">
        <f t="shared" si="18"/>
        <v>2023</v>
      </c>
      <c r="M307" t="str">
        <f t="shared" si="19"/>
        <v>T3-2023</v>
      </c>
    </row>
    <row r="308" spans="1:13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 t="str">
        <f t="shared" si="16"/>
        <v>60+</v>
      </c>
      <c r="K308" t="str">
        <f t="shared" si="17"/>
        <v>sábado-05</v>
      </c>
      <c r="L308">
        <f t="shared" si="18"/>
        <v>2023</v>
      </c>
      <c r="M308" t="str">
        <f t="shared" si="19"/>
        <v>T2-2023</v>
      </c>
    </row>
    <row r="309" spans="1:13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 t="str">
        <f t="shared" si="16"/>
        <v>60+</v>
      </c>
      <c r="K309" t="str">
        <f t="shared" si="17"/>
        <v>sábado-08</v>
      </c>
      <c r="L309">
        <f t="shared" si="18"/>
        <v>2023</v>
      </c>
      <c r="M309" t="str">
        <f t="shared" si="19"/>
        <v>T3-2023</v>
      </c>
    </row>
    <row r="310" spans="1:13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 t="str">
        <f t="shared" si="16"/>
        <v>60+</v>
      </c>
      <c r="K310" t="str">
        <f t="shared" si="17"/>
        <v>sábado-12</v>
      </c>
      <c r="L310">
        <f t="shared" si="18"/>
        <v>2023</v>
      </c>
      <c r="M310" t="str">
        <f t="shared" si="19"/>
        <v>T4-2023</v>
      </c>
    </row>
    <row r="311" spans="1:13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 t="str">
        <f t="shared" si="16"/>
        <v>60+</v>
      </c>
      <c r="K311" t="str">
        <f t="shared" si="17"/>
        <v>jueves-10</v>
      </c>
      <c r="L311">
        <f t="shared" si="18"/>
        <v>2023</v>
      </c>
      <c r="M311" t="str">
        <f t="shared" si="19"/>
        <v>T4-2023</v>
      </c>
    </row>
    <row r="312" spans="1:13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 t="str">
        <f t="shared" si="16"/>
        <v>60+</v>
      </c>
      <c r="K312" t="str">
        <f t="shared" si="17"/>
        <v>martes-12</v>
      </c>
      <c r="L312">
        <f t="shared" si="18"/>
        <v>2023</v>
      </c>
      <c r="M312" t="str">
        <f t="shared" si="19"/>
        <v>T4-2023</v>
      </c>
    </row>
    <row r="313" spans="1:13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 t="str">
        <f t="shared" si="16"/>
        <v>60+</v>
      </c>
      <c r="K313" t="str">
        <f t="shared" si="17"/>
        <v>jueves-09</v>
      </c>
      <c r="L313">
        <f t="shared" si="18"/>
        <v>2023</v>
      </c>
      <c r="M313" t="str">
        <f t="shared" si="19"/>
        <v>T3-2023</v>
      </c>
    </row>
    <row r="314" spans="1:13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 t="str">
        <f t="shared" si="16"/>
        <v>60+</v>
      </c>
      <c r="K314" t="str">
        <f t="shared" si="17"/>
        <v>martes-03</v>
      </c>
      <c r="L314">
        <f t="shared" si="18"/>
        <v>2023</v>
      </c>
      <c r="M314" t="str">
        <f t="shared" si="19"/>
        <v>T1-2023</v>
      </c>
    </row>
    <row r="315" spans="1:13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 t="str">
        <f t="shared" si="16"/>
        <v>60+</v>
      </c>
      <c r="K315" t="str">
        <f t="shared" si="17"/>
        <v>sábado-04</v>
      </c>
      <c r="L315">
        <f t="shared" si="18"/>
        <v>2023</v>
      </c>
      <c r="M315" t="str">
        <f t="shared" si="19"/>
        <v>T2-2023</v>
      </c>
    </row>
    <row r="316" spans="1:13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 t="str">
        <f t="shared" si="16"/>
        <v>60+</v>
      </c>
      <c r="K316" t="str">
        <f t="shared" si="17"/>
        <v>jueves-06</v>
      </c>
      <c r="L316">
        <f t="shared" si="18"/>
        <v>2023</v>
      </c>
      <c r="M316" t="str">
        <f t="shared" si="19"/>
        <v>T2-2023</v>
      </c>
    </row>
    <row r="317" spans="1:13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 t="str">
        <f t="shared" si="16"/>
        <v>60+</v>
      </c>
      <c r="K317" t="str">
        <f t="shared" si="17"/>
        <v>sábado-04</v>
      </c>
      <c r="L317">
        <f t="shared" si="18"/>
        <v>2023</v>
      </c>
      <c r="M317" t="str">
        <f t="shared" si="19"/>
        <v>T2-2023</v>
      </c>
    </row>
    <row r="318" spans="1:13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 t="str">
        <f t="shared" si="16"/>
        <v>60+</v>
      </c>
      <c r="K318" t="str">
        <f t="shared" si="17"/>
        <v>lunes-01</v>
      </c>
      <c r="L318">
        <f t="shared" si="18"/>
        <v>2023</v>
      </c>
      <c r="M318" t="str">
        <f t="shared" si="19"/>
        <v>T1-2023</v>
      </c>
    </row>
    <row r="319" spans="1:13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 t="str">
        <f t="shared" si="16"/>
        <v>60+</v>
      </c>
      <c r="K319" t="str">
        <f t="shared" si="17"/>
        <v>martes-10</v>
      </c>
      <c r="L319">
        <f t="shared" si="18"/>
        <v>2023</v>
      </c>
      <c r="M319" t="str">
        <f t="shared" si="19"/>
        <v>T4-2023</v>
      </c>
    </row>
    <row r="320" spans="1:13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 t="str">
        <f t="shared" si="16"/>
        <v>60+</v>
      </c>
      <c r="K320" t="str">
        <f t="shared" si="17"/>
        <v>jueves-10</v>
      </c>
      <c r="L320">
        <f t="shared" si="18"/>
        <v>2023</v>
      </c>
      <c r="M320" t="str">
        <f t="shared" si="19"/>
        <v>T4-2023</v>
      </c>
    </row>
    <row r="321" spans="1:13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 t="str">
        <f t="shared" si="16"/>
        <v>60+</v>
      </c>
      <c r="K321" t="str">
        <f t="shared" si="17"/>
        <v>miércoles-02</v>
      </c>
      <c r="L321">
        <f t="shared" si="18"/>
        <v>2023</v>
      </c>
      <c r="M321" t="str">
        <f t="shared" si="19"/>
        <v>T1-2023</v>
      </c>
    </row>
    <row r="322" spans="1:13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 t="str">
        <f t="shared" si="16"/>
        <v>60+</v>
      </c>
      <c r="K322" t="str">
        <f t="shared" si="17"/>
        <v>sábado-06</v>
      </c>
      <c r="L322">
        <f t="shared" si="18"/>
        <v>2023</v>
      </c>
      <c r="M322" t="str">
        <f t="shared" si="19"/>
        <v>T2-2023</v>
      </c>
    </row>
    <row r="323" spans="1:13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 t="str">
        <f t="shared" ref="J323:J386" si="20">IF(D323&lt;30,"18-29",IF(D323&lt;45,"30-44",IF(D323&lt;60,"45-59","60+")))</f>
        <v>60+</v>
      </c>
      <c r="K323" t="str">
        <f t="shared" ref="K323:K386" si="21">TEXT(B323,"AAAA-MM")</f>
        <v>lunes-01</v>
      </c>
      <c r="L323">
        <f t="shared" ref="L323:L386" si="22">YEAR(B323)</f>
        <v>2023</v>
      </c>
      <c r="M323" t="str">
        <f t="shared" ref="M323:M386" si="23">"T"&amp;INT((MONTH(B323)-1)/3+1)&amp;"-"&amp;YEAR(B323)</f>
        <v>T1-2023</v>
      </c>
    </row>
    <row r="324" spans="1:13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 t="str">
        <f t="shared" si="20"/>
        <v>60+</v>
      </c>
      <c r="K324" t="str">
        <f t="shared" si="21"/>
        <v>jueves-01</v>
      </c>
      <c r="L324">
        <f t="shared" si="22"/>
        <v>2023</v>
      </c>
      <c r="M324" t="str">
        <f t="shared" si="23"/>
        <v>T1-2023</v>
      </c>
    </row>
    <row r="325" spans="1:13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 t="str">
        <f t="shared" si="20"/>
        <v>60+</v>
      </c>
      <c r="K325" t="str">
        <f t="shared" si="21"/>
        <v>viernes-10</v>
      </c>
      <c r="L325">
        <f t="shared" si="22"/>
        <v>2023</v>
      </c>
      <c r="M325" t="str">
        <f t="shared" si="23"/>
        <v>T4-2023</v>
      </c>
    </row>
    <row r="326" spans="1:13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 t="str">
        <f t="shared" si="20"/>
        <v>60+</v>
      </c>
      <c r="K326" t="str">
        <f t="shared" si="21"/>
        <v>sábado-09</v>
      </c>
      <c r="L326">
        <f t="shared" si="22"/>
        <v>2023</v>
      </c>
      <c r="M326" t="str">
        <f t="shared" si="23"/>
        <v>T3-2023</v>
      </c>
    </row>
    <row r="327" spans="1:13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 t="str">
        <f t="shared" si="20"/>
        <v>60+</v>
      </c>
      <c r="K327" t="str">
        <f t="shared" si="21"/>
        <v>viernes-09</v>
      </c>
      <c r="L327">
        <f t="shared" si="22"/>
        <v>2023</v>
      </c>
      <c r="M327" t="str">
        <f t="shared" si="23"/>
        <v>T3-2023</v>
      </c>
    </row>
    <row r="328" spans="1:13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 t="str">
        <f t="shared" si="20"/>
        <v>60+</v>
      </c>
      <c r="K328" t="str">
        <f t="shared" si="21"/>
        <v>viernes-09</v>
      </c>
      <c r="L328">
        <f t="shared" si="22"/>
        <v>2023</v>
      </c>
      <c r="M328" t="str">
        <f t="shared" si="23"/>
        <v>T3-2023</v>
      </c>
    </row>
    <row r="329" spans="1:13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 t="str">
        <f t="shared" si="20"/>
        <v>60+</v>
      </c>
      <c r="K329" t="str">
        <f t="shared" si="21"/>
        <v>miércoles-03</v>
      </c>
      <c r="L329">
        <f t="shared" si="22"/>
        <v>2023</v>
      </c>
      <c r="M329" t="str">
        <f t="shared" si="23"/>
        <v>T1-2023</v>
      </c>
    </row>
    <row r="330" spans="1:13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 t="str">
        <f t="shared" si="20"/>
        <v>60+</v>
      </c>
      <c r="K330" t="str">
        <f t="shared" si="21"/>
        <v>lunes-01</v>
      </c>
      <c r="L330">
        <f t="shared" si="22"/>
        <v>2023</v>
      </c>
      <c r="M330" t="str">
        <f t="shared" si="23"/>
        <v>T1-2023</v>
      </c>
    </row>
    <row r="331" spans="1:13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 t="str">
        <f t="shared" si="20"/>
        <v>60+</v>
      </c>
      <c r="K331" t="str">
        <f t="shared" si="21"/>
        <v>lunes-09</v>
      </c>
      <c r="L331">
        <f t="shared" si="22"/>
        <v>2023</v>
      </c>
      <c r="M331" t="str">
        <f t="shared" si="23"/>
        <v>T3-2023</v>
      </c>
    </row>
    <row r="332" spans="1:13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 t="str">
        <f t="shared" si="20"/>
        <v>60+</v>
      </c>
      <c r="K332" t="str">
        <f t="shared" si="21"/>
        <v>sábado-02</v>
      </c>
      <c r="L332">
        <f t="shared" si="22"/>
        <v>2023</v>
      </c>
      <c r="M332" t="str">
        <f t="shared" si="23"/>
        <v>T1-2023</v>
      </c>
    </row>
    <row r="333" spans="1:13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 t="str">
        <f t="shared" si="20"/>
        <v>60+</v>
      </c>
      <c r="K333" t="str">
        <f t="shared" si="21"/>
        <v>jueves-04</v>
      </c>
      <c r="L333">
        <f t="shared" si="22"/>
        <v>2023</v>
      </c>
      <c r="M333" t="str">
        <f t="shared" si="23"/>
        <v>T2-2023</v>
      </c>
    </row>
    <row r="334" spans="1:13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 t="str">
        <f t="shared" si="20"/>
        <v>60+</v>
      </c>
      <c r="K334" t="str">
        <f t="shared" si="21"/>
        <v>domingo-02</v>
      </c>
      <c r="L334">
        <f t="shared" si="22"/>
        <v>2023</v>
      </c>
      <c r="M334" t="str">
        <f t="shared" si="23"/>
        <v>T1-2023</v>
      </c>
    </row>
    <row r="335" spans="1:13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 t="str">
        <f t="shared" si="20"/>
        <v>60+</v>
      </c>
      <c r="K335" t="str">
        <f t="shared" si="21"/>
        <v>miércoles-11</v>
      </c>
      <c r="L335">
        <f t="shared" si="22"/>
        <v>2023</v>
      </c>
      <c r="M335" t="str">
        <f t="shared" si="23"/>
        <v>T4-2023</v>
      </c>
    </row>
    <row r="336" spans="1:13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 t="str">
        <f t="shared" si="20"/>
        <v>60+</v>
      </c>
      <c r="K336" t="str">
        <f t="shared" si="21"/>
        <v>sábado-02</v>
      </c>
      <c r="L336">
        <f t="shared" si="22"/>
        <v>2023</v>
      </c>
      <c r="M336" t="str">
        <f t="shared" si="23"/>
        <v>T1-2023</v>
      </c>
    </row>
    <row r="337" spans="1:13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 t="str">
        <f t="shared" si="20"/>
        <v>60+</v>
      </c>
      <c r="K337" t="str">
        <f t="shared" si="21"/>
        <v>martes-12</v>
      </c>
      <c r="L337">
        <f t="shared" si="22"/>
        <v>2023</v>
      </c>
      <c r="M337" t="str">
        <f t="shared" si="23"/>
        <v>T4-2023</v>
      </c>
    </row>
    <row r="338" spans="1:13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 t="str">
        <f t="shared" si="20"/>
        <v>60+</v>
      </c>
      <c r="K338" t="str">
        <f t="shared" si="21"/>
        <v>lunes-05</v>
      </c>
      <c r="L338">
        <f t="shared" si="22"/>
        <v>2023</v>
      </c>
      <c r="M338" t="str">
        <f t="shared" si="23"/>
        <v>T2-2023</v>
      </c>
    </row>
    <row r="339" spans="1:13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 t="str">
        <f t="shared" si="20"/>
        <v>60+</v>
      </c>
      <c r="K339" t="str">
        <f t="shared" si="21"/>
        <v>miércoles-07</v>
      </c>
      <c r="L339">
        <f t="shared" si="22"/>
        <v>2023</v>
      </c>
      <c r="M339" t="str">
        <f t="shared" si="23"/>
        <v>T3-2023</v>
      </c>
    </row>
    <row r="340" spans="1:13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 t="str">
        <f t="shared" si="20"/>
        <v>60+</v>
      </c>
      <c r="K340" t="str">
        <f t="shared" si="21"/>
        <v>viernes-03</v>
      </c>
      <c r="L340">
        <f t="shared" si="22"/>
        <v>2023</v>
      </c>
      <c r="M340" t="str">
        <f t="shared" si="23"/>
        <v>T1-2023</v>
      </c>
    </row>
    <row r="341" spans="1:13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 t="str">
        <f t="shared" si="20"/>
        <v>60+</v>
      </c>
      <c r="K341" t="str">
        <f t="shared" si="21"/>
        <v>jueves-10</v>
      </c>
      <c r="L341">
        <f t="shared" si="22"/>
        <v>2023</v>
      </c>
      <c r="M341" t="str">
        <f t="shared" si="23"/>
        <v>T4-2023</v>
      </c>
    </row>
    <row r="342" spans="1:13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 t="str">
        <f t="shared" si="20"/>
        <v>60+</v>
      </c>
      <c r="K342" t="str">
        <f t="shared" si="21"/>
        <v>domingo-05</v>
      </c>
      <c r="L342">
        <f t="shared" si="22"/>
        <v>2023</v>
      </c>
      <c r="M342" t="str">
        <f t="shared" si="23"/>
        <v>T2-2023</v>
      </c>
    </row>
    <row r="343" spans="1:13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 t="str">
        <f t="shared" si="20"/>
        <v>60+</v>
      </c>
      <c r="K343" t="str">
        <f t="shared" si="21"/>
        <v>martes-10</v>
      </c>
      <c r="L343">
        <f t="shared" si="22"/>
        <v>2023</v>
      </c>
      <c r="M343" t="str">
        <f t="shared" si="23"/>
        <v>T4-2023</v>
      </c>
    </row>
    <row r="344" spans="1:13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 t="str">
        <f t="shared" si="20"/>
        <v>60+</v>
      </c>
      <c r="K344" t="str">
        <f t="shared" si="21"/>
        <v>miércoles-11</v>
      </c>
      <c r="L344">
        <f t="shared" si="22"/>
        <v>2023</v>
      </c>
      <c r="M344" t="str">
        <f t="shared" si="23"/>
        <v>T4-2023</v>
      </c>
    </row>
    <row r="345" spans="1:13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 t="str">
        <f t="shared" si="20"/>
        <v>60+</v>
      </c>
      <c r="K345" t="str">
        <f t="shared" si="21"/>
        <v>sábado-01</v>
      </c>
      <c r="L345">
        <f t="shared" si="22"/>
        <v>2023</v>
      </c>
      <c r="M345" t="str">
        <f t="shared" si="23"/>
        <v>T1-2023</v>
      </c>
    </row>
    <row r="346" spans="1:13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 t="str">
        <f t="shared" si="20"/>
        <v>60+</v>
      </c>
      <c r="K346" t="str">
        <f t="shared" si="21"/>
        <v>martes-11</v>
      </c>
      <c r="L346">
        <f t="shared" si="22"/>
        <v>2023</v>
      </c>
      <c r="M346" t="str">
        <f t="shared" si="23"/>
        <v>T4-2023</v>
      </c>
    </row>
    <row r="347" spans="1:13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 t="str">
        <f t="shared" si="20"/>
        <v>60+</v>
      </c>
      <c r="K347" t="str">
        <f t="shared" si="21"/>
        <v>sábado-02</v>
      </c>
      <c r="L347">
        <f t="shared" si="22"/>
        <v>2023</v>
      </c>
      <c r="M347" t="str">
        <f t="shared" si="23"/>
        <v>T1-2023</v>
      </c>
    </row>
    <row r="348" spans="1:13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 t="str">
        <f t="shared" si="20"/>
        <v>60+</v>
      </c>
      <c r="K348" t="str">
        <f t="shared" si="21"/>
        <v>jueves-08</v>
      </c>
      <c r="L348">
        <f t="shared" si="22"/>
        <v>2023</v>
      </c>
      <c r="M348" t="str">
        <f t="shared" si="23"/>
        <v>T3-2023</v>
      </c>
    </row>
    <row r="349" spans="1:13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 t="str">
        <f t="shared" si="20"/>
        <v>60+</v>
      </c>
      <c r="K349" t="str">
        <f t="shared" si="21"/>
        <v>domingo-12</v>
      </c>
      <c r="L349">
        <f t="shared" si="22"/>
        <v>2023</v>
      </c>
      <c r="M349" t="str">
        <f t="shared" si="23"/>
        <v>T4-2023</v>
      </c>
    </row>
    <row r="350" spans="1:13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 t="str">
        <f t="shared" si="20"/>
        <v>60+</v>
      </c>
      <c r="K350" t="str">
        <f t="shared" si="21"/>
        <v>jueves-10</v>
      </c>
      <c r="L350">
        <f t="shared" si="22"/>
        <v>2023</v>
      </c>
      <c r="M350" t="str">
        <f t="shared" si="23"/>
        <v>T4-2023</v>
      </c>
    </row>
    <row r="351" spans="1:13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 t="str">
        <f t="shared" si="20"/>
        <v>60+</v>
      </c>
      <c r="K351" t="str">
        <f t="shared" si="21"/>
        <v>martes-10</v>
      </c>
      <c r="L351">
        <f t="shared" si="22"/>
        <v>2023</v>
      </c>
      <c r="M351" t="str">
        <f t="shared" si="23"/>
        <v>T4-2023</v>
      </c>
    </row>
    <row r="352" spans="1:13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 t="str">
        <f t="shared" si="20"/>
        <v>60+</v>
      </c>
      <c r="K352" t="str">
        <f t="shared" si="21"/>
        <v>lunes-09</v>
      </c>
      <c r="L352">
        <f t="shared" si="22"/>
        <v>2023</v>
      </c>
      <c r="M352" t="str">
        <f t="shared" si="23"/>
        <v>T3-2023</v>
      </c>
    </row>
    <row r="353" spans="1:13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 t="str">
        <f t="shared" si="20"/>
        <v>60+</v>
      </c>
      <c r="K353" t="str">
        <f t="shared" si="21"/>
        <v>domingo-06</v>
      </c>
      <c r="L353">
        <f t="shared" si="22"/>
        <v>2023</v>
      </c>
      <c r="M353" t="str">
        <f t="shared" si="23"/>
        <v>T2-2023</v>
      </c>
    </row>
    <row r="354" spans="1:13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 t="str">
        <f t="shared" si="20"/>
        <v>60+</v>
      </c>
      <c r="K354" t="str">
        <f t="shared" si="21"/>
        <v>domingo-05</v>
      </c>
      <c r="L354">
        <f t="shared" si="22"/>
        <v>2023</v>
      </c>
      <c r="M354" t="str">
        <f t="shared" si="23"/>
        <v>T2-2023</v>
      </c>
    </row>
    <row r="355" spans="1:13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 t="str">
        <f t="shared" si="20"/>
        <v>60+</v>
      </c>
      <c r="K355" t="str">
        <f t="shared" si="21"/>
        <v>sábado-04</v>
      </c>
      <c r="L355">
        <f t="shared" si="22"/>
        <v>2023</v>
      </c>
      <c r="M355" t="str">
        <f t="shared" si="23"/>
        <v>T2-2023</v>
      </c>
    </row>
    <row r="356" spans="1:13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 t="str">
        <f t="shared" si="20"/>
        <v>60+</v>
      </c>
      <c r="K356" t="str">
        <f t="shared" si="21"/>
        <v>sábado-12</v>
      </c>
      <c r="L356">
        <f t="shared" si="22"/>
        <v>2023</v>
      </c>
      <c r="M356" t="str">
        <f t="shared" si="23"/>
        <v>T4-2023</v>
      </c>
    </row>
    <row r="357" spans="1:13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 t="str">
        <f t="shared" si="20"/>
        <v>60+</v>
      </c>
      <c r="K357" t="str">
        <f t="shared" si="21"/>
        <v>sábado-06</v>
      </c>
      <c r="L357">
        <f t="shared" si="22"/>
        <v>2023</v>
      </c>
      <c r="M357" t="str">
        <f t="shared" si="23"/>
        <v>T2-2023</v>
      </c>
    </row>
    <row r="358" spans="1:13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 t="str">
        <f t="shared" si="20"/>
        <v>60+</v>
      </c>
      <c r="K358" t="str">
        <f t="shared" si="21"/>
        <v>miércoles-05</v>
      </c>
      <c r="L358">
        <f t="shared" si="22"/>
        <v>2023</v>
      </c>
      <c r="M358" t="str">
        <f t="shared" si="23"/>
        <v>T2-2023</v>
      </c>
    </row>
    <row r="359" spans="1:13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 t="str">
        <f t="shared" si="20"/>
        <v>60+</v>
      </c>
      <c r="K359" t="str">
        <f t="shared" si="21"/>
        <v>martes-05</v>
      </c>
      <c r="L359">
        <f t="shared" si="22"/>
        <v>2023</v>
      </c>
      <c r="M359" t="str">
        <f t="shared" si="23"/>
        <v>T2-2023</v>
      </c>
    </row>
    <row r="360" spans="1:13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 t="str">
        <f t="shared" si="20"/>
        <v>60+</v>
      </c>
      <c r="K360" t="str">
        <f t="shared" si="21"/>
        <v>sábado-07</v>
      </c>
      <c r="L360">
        <f t="shared" si="22"/>
        <v>2023</v>
      </c>
      <c r="M360" t="str">
        <f t="shared" si="23"/>
        <v>T3-2023</v>
      </c>
    </row>
    <row r="361" spans="1:13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 t="str">
        <f t="shared" si="20"/>
        <v>60+</v>
      </c>
      <c r="K361" t="str">
        <f t="shared" si="21"/>
        <v>jueves-03</v>
      </c>
      <c r="L361">
        <f t="shared" si="22"/>
        <v>2023</v>
      </c>
      <c r="M361" t="str">
        <f t="shared" si="23"/>
        <v>T1-2023</v>
      </c>
    </row>
    <row r="362" spans="1:13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 t="str">
        <f t="shared" si="20"/>
        <v>60+</v>
      </c>
      <c r="K362" t="str">
        <f t="shared" si="21"/>
        <v>domingo-12</v>
      </c>
      <c r="L362">
        <f t="shared" si="22"/>
        <v>2023</v>
      </c>
      <c r="M362" t="str">
        <f t="shared" si="23"/>
        <v>T4-2023</v>
      </c>
    </row>
    <row r="363" spans="1:13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 t="str">
        <f t="shared" si="20"/>
        <v>60+</v>
      </c>
      <c r="K363" t="str">
        <f t="shared" si="21"/>
        <v>lunes-11</v>
      </c>
      <c r="L363">
        <f t="shared" si="22"/>
        <v>2023</v>
      </c>
      <c r="M363" t="str">
        <f t="shared" si="23"/>
        <v>T4-2023</v>
      </c>
    </row>
    <row r="364" spans="1:13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 t="str">
        <f t="shared" si="20"/>
        <v>60+</v>
      </c>
      <c r="K364" t="str">
        <f t="shared" si="21"/>
        <v>sábado-06</v>
      </c>
      <c r="L364">
        <f t="shared" si="22"/>
        <v>2023</v>
      </c>
      <c r="M364" t="str">
        <f t="shared" si="23"/>
        <v>T2-2023</v>
      </c>
    </row>
    <row r="365" spans="1:13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 t="str">
        <f t="shared" si="20"/>
        <v>60+</v>
      </c>
      <c r="K365" t="str">
        <f t="shared" si="21"/>
        <v>miércoles-08</v>
      </c>
      <c r="L365">
        <f t="shared" si="22"/>
        <v>2023</v>
      </c>
      <c r="M365" t="str">
        <f t="shared" si="23"/>
        <v>T3-2023</v>
      </c>
    </row>
    <row r="366" spans="1:13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 t="str">
        <f t="shared" si="20"/>
        <v>60+</v>
      </c>
      <c r="K366" t="str">
        <f t="shared" si="21"/>
        <v>domingo-06</v>
      </c>
      <c r="L366">
        <f t="shared" si="22"/>
        <v>2023</v>
      </c>
      <c r="M366" t="str">
        <f t="shared" si="23"/>
        <v>T2-2023</v>
      </c>
    </row>
    <row r="367" spans="1:13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 t="str">
        <f t="shared" si="20"/>
        <v>60+</v>
      </c>
      <c r="K367" t="str">
        <f t="shared" si="21"/>
        <v>martes-02</v>
      </c>
      <c r="L367">
        <f t="shared" si="22"/>
        <v>2023</v>
      </c>
      <c r="M367" t="str">
        <f t="shared" si="23"/>
        <v>T1-2023</v>
      </c>
    </row>
    <row r="368" spans="1:13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 t="str">
        <f t="shared" si="20"/>
        <v>60+</v>
      </c>
      <c r="K368" t="str">
        <f t="shared" si="21"/>
        <v>jueves-01</v>
      </c>
      <c r="L368">
        <f t="shared" si="22"/>
        <v>2023</v>
      </c>
      <c r="M368" t="str">
        <f t="shared" si="23"/>
        <v>T1-2023</v>
      </c>
    </row>
    <row r="369" spans="1:13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 t="str">
        <f t="shared" si="20"/>
        <v>60+</v>
      </c>
      <c r="K369" t="str">
        <f t="shared" si="21"/>
        <v>miércoles-08</v>
      </c>
      <c r="L369">
        <f t="shared" si="22"/>
        <v>2023</v>
      </c>
      <c r="M369" t="str">
        <f t="shared" si="23"/>
        <v>T3-2023</v>
      </c>
    </row>
    <row r="370" spans="1:13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 t="str">
        <f t="shared" si="20"/>
        <v>60+</v>
      </c>
      <c r="K370" t="str">
        <f t="shared" si="21"/>
        <v>miércoles-11</v>
      </c>
      <c r="L370">
        <f t="shared" si="22"/>
        <v>2023</v>
      </c>
      <c r="M370" t="str">
        <f t="shared" si="23"/>
        <v>T4-2023</v>
      </c>
    </row>
    <row r="371" spans="1:13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 t="str">
        <f t="shared" si="20"/>
        <v>60+</v>
      </c>
      <c r="K371" t="str">
        <f t="shared" si="21"/>
        <v>lunes-10</v>
      </c>
      <c r="L371">
        <f t="shared" si="22"/>
        <v>2023</v>
      </c>
      <c r="M371" t="str">
        <f t="shared" si="23"/>
        <v>T4-2023</v>
      </c>
    </row>
    <row r="372" spans="1:13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 t="str">
        <f t="shared" si="20"/>
        <v>60+</v>
      </c>
      <c r="K372" t="str">
        <f t="shared" si="21"/>
        <v>martes-02</v>
      </c>
      <c r="L372">
        <f t="shared" si="22"/>
        <v>2023</v>
      </c>
      <c r="M372" t="str">
        <f t="shared" si="23"/>
        <v>T1-2023</v>
      </c>
    </row>
    <row r="373" spans="1:13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 t="str">
        <f t="shared" si="20"/>
        <v>60+</v>
      </c>
      <c r="K373" t="str">
        <f t="shared" si="21"/>
        <v>martes-02</v>
      </c>
      <c r="L373">
        <f t="shared" si="22"/>
        <v>2023</v>
      </c>
      <c r="M373" t="str">
        <f t="shared" si="23"/>
        <v>T1-2023</v>
      </c>
    </row>
    <row r="374" spans="1:13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 t="str">
        <f t="shared" si="20"/>
        <v>60+</v>
      </c>
      <c r="K374" t="str">
        <f t="shared" si="21"/>
        <v>martes-10</v>
      </c>
      <c r="L374">
        <f t="shared" si="22"/>
        <v>2023</v>
      </c>
      <c r="M374" t="str">
        <f t="shared" si="23"/>
        <v>T4-2023</v>
      </c>
    </row>
    <row r="375" spans="1:13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 t="str">
        <f t="shared" si="20"/>
        <v>60+</v>
      </c>
      <c r="K375" t="str">
        <f t="shared" si="21"/>
        <v>jueves-04</v>
      </c>
      <c r="L375">
        <f t="shared" si="22"/>
        <v>2023</v>
      </c>
      <c r="M375" t="str">
        <f t="shared" si="23"/>
        <v>T2-2023</v>
      </c>
    </row>
    <row r="376" spans="1:13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 t="str">
        <f t="shared" si="20"/>
        <v>60+</v>
      </c>
      <c r="K376" t="str">
        <f t="shared" si="21"/>
        <v>domingo-09</v>
      </c>
      <c r="L376">
        <f t="shared" si="22"/>
        <v>2023</v>
      </c>
      <c r="M376" t="str">
        <f t="shared" si="23"/>
        <v>T3-2023</v>
      </c>
    </row>
    <row r="377" spans="1:13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 t="str">
        <f t="shared" si="20"/>
        <v>60+</v>
      </c>
      <c r="K377" t="str">
        <f t="shared" si="21"/>
        <v>martes-05</v>
      </c>
      <c r="L377">
        <f t="shared" si="22"/>
        <v>2023</v>
      </c>
      <c r="M377" t="str">
        <f t="shared" si="23"/>
        <v>T2-2023</v>
      </c>
    </row>
    <row r="378" spans="1:13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 t="str">
        <f t="shared" si="20"/>
        <v>60+</v>
      </c>
      <c r="K378" t="str">
        <f t="shared" si="21"/>
        <v>jueves-03</v>
      </c>
      <c r="L378">
        <f t="shared" si="22"/>
        <v>2023</v>
      </c>
      <c r="M378" t="str">
        <f t="shared" si="23"/>
        <v>T1-2023</v>
      </c>
    </row>
    <row r="379" spans="1:13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 t="str">
        <f t="shared" si="20"/>
        <v>60+</v>
      </c>
      <c r="K379" t="str">
        <f t="shared" si="21"/>
        <v>miércoles-06</v>
      </c>
      <c r="L379">
        <f t="shared" si="22"/>
        <v>2023</v>
      </c>
      <c r="M379" t="str">
        <f t="shared" si="23"/>
        <v>T2-2023</v>
      </c>
    </row>
    <row r="380" spans="1:13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 t="str">
        <f t="shared" si="20"/>
        <v>60+</v>
      </c>
      <c r="K380" t="str">
        <f t="shared" si="21"/>
        <v>domingo-02</v>
      </c>
      <c r="L380">
        <f t="shared" si="22"/>
        <v>2023</v>
      </c>
      <c r="M380" t="str">
        <f t="shared" si="23"/>
        <v>T1-2023</v>
      </c>
    </row>
    <row r="381" spans="1:13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 t="str">
        <f t="shared" si="20"/>
        <v>60+</v>
      </c>
      <c r="K381" t="str">
        <f t="shared" si="21"/>
        <v>sábado-05</v>
      </c>
      <c r="L381">
        <f t="shared" si="22"/>
        <v>2023</v>
      </c>
      <c r="M381" t="str">
        <f t="shared" si="23"/>
        <v>T2-2023</v>
      </c>
    </row>
    <row r="382" spans="1:13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 t="str">
        <f t="shared" si="20"/>
        <v>60+</v>
      </c>
      <c r="K382" t="str">
        <f t="shared" si="21"/>
        <v>domingo-07</v>
      </c>
      <c r="L382">
        <f t="shared" si="22"/>
        <v>2023</v>
      </c>
      <c r="M382" t="str">
        <f t="shared" si="23"/>
        <v>T3-2023</v>
      </c>
    </row>
    <row r="383" spans="1:13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 t="str">
        <f t="shared" si="20"/>
        <v>60+</v>
      </c>
      <c r="K383" t="str">
        <f t="shared" si="21"/>
        <v>viernes-05</v>
      </c>
      <c r="L383">
        <f t="shared" si="22"/>
        <v>2023</v>
      </c>
      <c r="M383" t="str">
        <f t="shared" si="23"/>
        <v>T2-2023</v>
      </c>
    </row>
    <row r="384" spans="1:13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 t="str">
        <f t="shared" si="20"/>
        <v>60+</v>
      </c>
      <c r="K384" t="str">
        <f t="shared" si="21"/>
        <v>miércoles-03</v>
      </c>
      <c r="L384">
        <f t="shared" si="22"/>
        <v>2023</v>
      </c>
      <c r="M384" t="str">
        <f t="shared" si="23"/>
        <v>T1-2023</v>
      </c>
    </row>
    <row r="385" spans="1:13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 t="str">
        <f t="shared" si="20"/>
        <v>60+</v>
      </c>
      <c r="K385" t="str">
        <f t="shared" si="21"/>
        <v>domingo-08</v>
      </c>
      <c r="L385">
        <f t="shared" si="22"/>
        <v>2023</v>
      </c>
      <c r="M385" t="str">
        <f t="shared" si="23"/>
        <v>T3-2023</v>
      </c>
    </row>
    <row r="386" spans="1:13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 t="str">
        <f t="shared" si="20"/>
        <v>60+</v>
      </c>
      <c r="K386" t="str">
        <f t="shared" si="21"/>
        <v>viernes-10</v>
      </c>
      <c r="L386">
        <f t="shared" si="22"/>
        <v>2023</v>
      </c>
      <c r="M386" t="str">
        <f t="shared" si="23"/>
        <v>T4-2023</v>
      </c>
    </row>
    <row r="387" spans="1:13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 t="str">
        <f t="shared" ref="J387:J450" si="24">IF(D387&lt;30,"18-29",IF(D387&lt;45,"30-44",IF(D387&lt;60,"45-59","60+")))</f>
        <v>60+</v>
      </c>
      <c r="K387" t="str">
        <f t="shared" ref="K387:K450" si="25">TEXT(B387,"AAAA-MM")</f>
        <v>miércoles-12</v>
      </c>
      <c r="L387">
        <f t="shared" ref="L387:L450" si="26">YEAR(B387)</f>
        <v>2023</v>
      </c>
      <c r="M387" t="str">
        <f t="shared" ref="M387:M450" si="27">"T"&amp;INT((MONTH(B387)-1)/3+1)&amp;"-"&amp;YEAR(B387)</f>
        <v>T4-2023</v>
      </c>
    </row>
    <row r="388" spans="1:13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 t="str">
        <f t="shared" si="24"/>
        <v>60+</v>
      </c>
      <c r="K388" t="str">
        <f t="shared" si="25"/>
        <v>domingo-06</v>
      </c>
      <c r="L388">
        <f t="shared" si="26"/>
        <v>2023</v>
      </c>
      <c r="M388" t="str">
        <f t="shared" si="27"/>
        <v>T2-2023</v>
      </c>
    </row>
    <row r="389" spans="1:13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 t="str">
        <f t="shared" si="24"/>
        <v>60+</v>
      </c>
      <c r="K389" t="str">
        <f t="shared" si="25"/>
        <v>viernes-11</v>
      </c>
      <c r="L389">
        <f t="shared" si="26"/>
        <v>2023</v>
      </c>
      <c r="M389" t="str">
        <f t="shared" si="27"/>
        <v>T4-2023</v>
      </c>
    </row>
    <row r="390" spans="1:13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 t="str">
        <f t="shared" si="24"/>
        <v>60+</v>
      </c>
      <c r="K390" t="str">
        <f t="shared" si="25"/>
        <v>viernes-12</v>
      </c>
      <c r="L390">
        <f t="shared" si="26"/>
        <v>2023</v>
      </c>
      <c r="M390" t="str">
        <f t="shared" si="27"/>
        <v>T4-2023</v>
      </c>
    </row>
    <row r="391" spans="1:13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 t="str">
        <f t="shared" si="24"/>
        <v>60+</v>
      </c>
      <c r="K391" t="str">
        <f t="shared" si="25"/>
        <v>jueves-09</v>
      </c>
      <c r="L391">
        <f t="shared" si="26"/>
        <v>2023</v>
      </c>
      <c r="M391" t="str">
        <f t="shared" si="27"/>
        <v>T3-2023</v>
      </c>
    </row>
    <row r="392" spans="1:13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 t="str">
        <f t="shared" si="24"/>
        <v>60+</v>
      </c>
      <c r="K392" t="str">
        <f t="shared" si="25"/>
        <v>jueves-01</v>
      </c>
      <c r="L392">
        <f t="shared" si="26"/>
        <v>2023</v>
      </c>
      <c r="M392" t="str">
        <f t="shared" si="27"/>
        <v>T1-2023</v>
      </c>
    </row>
    <row r="393" spans="1:13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 t="str">
        <f t="shared" si="24"/>
        <v>60+</v>
      </c>
      <c r="K393" t="str">
        <f t="shared" si="25"/>
        <v>viernes-12</v>
      </c>
      <c r="L393">
        <f t="shared" si="26"/>
        <v>2023</v>
      </c>
      <c r="M393" t="str">
        <f t="shared" si="27"/>
        <v>T4-2023</v>
      </c>
    </row>
    <row r="394" spans="1:13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 t="str">
        <f t="shared" si="24"/>
        <v>60+</v>
      </c>
      <c r="K394" t="str">
        <f t="shared" si="25"/>
        <v>miércoles-10</v>
      </c>
      <c r="L394">
        <f t="shared" si="26"/>
        <v>2023</v>
      </c>
      <c r="M394" t="str">
        <f t="shared" si="27"/>
        <v>T4-2023</v>
      </c>
    </row>
    <row r="395" spans="1:13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 t="str">
        <f t="shared" si="24"/>
        <v>60+</v>
      </c>
      <c r="K395" t="str">
        <f t="shared" si="25"/>
        <v>sábado-06</v>
      </c>
      <c r="L395">
        <f t="shared" si="26"/>
        <v>2023</v>
      </c>
      <c r="M395" t="str">
        <f t="shared" si="27"/>
        <v>T2-2023</v>
      </c>
    </row>
    <row r="396" spans="1:13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 t="str">
        <f t="shared" si="24"/>
        <v>60+</v>
      </c>
      <c r="K396" t="str">
        <f t="shared" si="25"/>
        <v>miércoles-12</v>
      </c>
      <c r="L396">
        <f t="shared" si="26"/>
        <v>2023</v>
      </c>
      <c r="M396" t="str">
        <f t="shared" si="27"/>
        <v>T4-2023</v>
      </c>
    </row>
    <row r="397" spans="1:13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 t="str">
        <f t="shared" si="24"/>
        <v>60+</v>
      </c>
      <c r="K397" t="str">
        <f t="shared" si="25"/>
        <v>jueves-02</v>
      </c>
      <c r="L397">
        <f t="shared" si="26"/>
        <v>2023</v>
      </c>
      <c r="M397" t="str">
        <f t="shared" si="27"/>
        <v>T1-2023</v>
      </c>
    </row>
    <row r="398" spans="1:13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 t="str">
        <f t="shared" si="24"/>
        <v>60+</v>
      </c>
      <c r="K398" t="str">
        <f t="shared" si="25"/>
        <v>viernes-03</v>
      </c>
      <c r="L398">
        <f t="shared" si="26"/>
        <v>2023</v>
      </c>
      <c r="M398" t="str">
        <f t="shared" si="27"/>
        <v>T1-2023</v>
      </c>
    </row>
    <row r="399" spans="1:13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 t="str">
        <f t="shared" si="24"/>
        <v>60+</v>
      </c>
      <c r="K399" t="str">
        <f t="shared" si="25"/>
        <v>martes-05</v>
      </c>
      <c r="L399">
        <f t="shared" si="26"/>
        <v>2023</v>
      </c>
      <c r="M399" t="str">
        <f t="shared" si="27"/>
        <v>T2-2023</v>
      </c>
    </row>
    <row r="400" spans="1:13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 t="str">
        <f t="shared" si="24"/>
        <v>60+</v>
      </c>
      <c r="K400" t="str">
        <f t="shared" si="25"/>
        <v>miércoles-03</v>
      </c>
      <c r="L400">
        <f t="shared" si="26"/>
        <v>2023</v>
      </c>
      <c r="M400" t="str">
        <f t="shared" si="27"/>
        <v>T1-2023</v>
      </c>
    </row>
    <row r="401" spans="1:13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 t="str">
        <f t="shared" si="24"/>
        <v>60+</v>
      </c>
      <c r="K401" t="str">
        <f t="shared" si="25"/>
        <v>viernes-02</v>
      </c>
      <c r="L401">
        <f t="shared" si="26"/>
        <v>2023</v>
      </c>
      <c r="M401" t="str">
        <f t="shared" si="27"/>
        <v>T1-2023</v>
      </c>
    </row>
    <row r="402" spans="1:13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 t="str">
        <f t="shared" si="24"/>
        <v>60+</v>
      </c>
      <c r="K402" t="str">
        <f t="shared" si="25"/>
        <v>miércoles-10</v>
      </c>
      <c r="L402">
        <f t="shared" si="26"/>
        <v>2023</v>
      </c>
      <c r="M402" t="str">
        <f t="shared" si="27"/>
        <v>T4-2023</v>
      </c>
    </row>
    <row r="403" spans="1:13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 t="str">
        <f t="shared" si="24"/>
        <v>60+</v>
      </c>
      <c r="K403" t="str">
        <f t="shared" si="25"/>
        <v>martes-03</v>
      </c>
      <c r="L403">
        <f t="shared" si="26"/>
        <v>2023</v>
      </c>
      <c r="M403" t="str">
        <f t="shared" si="27"/>
        <v>T1-2023</v>
      </c>
    </row>
    <row r="404" spans="1:13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 t="str">
        <f t="shared" si="24"/>
        <v>60+</v>
      </c>
      <c r="K404" t="str">
        <f t="shared" si="25"/>
        <v>sábado-05</v>
      </c>
      <c r="L404">
        <f t="shared" si="26"/>
        <v>2023</v>
      </c>
      <c r="M404" t="str">
        <f t="shared" si="27"/>
        <v>T2-2023</v>
      </c>
    </row>
    <row r="405" spans="1:13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 t="str">
        <f t="shared" si="24"/>
        <v>60+</v>
      </c>
      <c r="K405" t="str">
        <f t="shared" si="25"/>
        <v>jueves-05</v>
      </c>
      <c r="L405">
        <f t="shared" si="26"/>
        <v>2023</v>
      </c>
      <c r="M405" t="str">
        <f t="shared" si="27"/>
        <v>T2-2023</v>
      </c>
    </row>
    <row r="406" spans="1:13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 t="str">
        <f t="shared" si="24"/>
        <v>60+</v>
      </c>
      <c r="K406" t="str">
        <f t="shared" si="25"/>
        <v>lunes-11</v>
      </c>
      <c r="L406">
        <f t="shared" si="26"/>
        <v>2023</v>
      </c>
      <c r="M406" t="str">
        <f t="shared" si="27"/>
        <v>T4-2023</v>
      </c>
    </row>
    <row r="407" spans="1:13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 t="str">
        <f t="shared" si="24"/>
        <v>60+</v>
      </c>
      <c r="K407" t="str">
        <f t="shared" si="25"/>
        <v>martes-04</v>
      </c>
      <c r="L407">
        <f t="shared" si="26"/>
        <v>2023</v>
      </c>
      <c r="M407" t="str">
        <f t="shared" si="27"/>
        <v>T2-2023</v>
      </c>
    </row>
    <row r="408" spans="1:13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 t="str">
        <f t="shared" si="24"/>
        <v>60+</v>
      </c>
      <c r="K408" t="str">
        <f t="shared" si="25"/>
        <v>domingo-06</v>
      </c>
      <c r="L408">
        <f t="shared" si="26"/>
        <v>2023</v>
      </c>
      <c r="M408" t="str">
        <f t="shared" si="27"/>
        <v>T2-2023</v>
      </c>
    </row>
    <row r="409" spans="1:13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 t="str">
        <f t="shared" si="24"/>
        <v>60+</v>
      </c>
      <c r="K409" t="str">
        <f t="shared" si="25"/>
        <v>sábado-04</v>
      </c>
      <c r="L409">
        <f t="shared" si="26"/>
        <v>2023</v>
      </c>
      <c r="M409" t="str">
        <f t="shared" si="27"/>
        <v>T2-2023</v>
      </c>
    </row>
    <row r="410" spans="1:13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 t="str">
        <f t="shared" si="24"/>
        <v>60+</v>
      </c>
      <c r="K410" t="str">
        <f t="shared" si="25"/>
        <v>lunes-12</v>
      </c>
      <c r="L410">
        <f t="shared" si="26"/>
        <v>2023</v>
      </c>
      <c r="M410" t="str">
        <f t="shared" si="27"/>
        <v>T4-2023</v>
      </c>
    </row>
    <row r="411" spans="1:13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 t="str">
        <f t="shared" si="24"/>
        <v>60+</v>
      </c>
      <c r="K411" t="str">
        <f t="shared" si="25"/>
        <v>martes-11</v>
      </c>
      <c r="L411">
        <f t="shared" si="26"/>
        <v>2023</v>
      </c>
      <c r="M411" t="str">
        <f t="shared" si="27"/>
        <v>T4-2023</v>
      </c>
    </row>
    <row r="412" spans="1:13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 t="str">
        <f t="shared" si="24"/>
        <v>60+</v>
      </c>
      <c r="K412" t="str">
        <f t="shared" si="25"/>
        <v>martes-05</v>
      </c>
      <c r="L412">
        <f t="shared" si="26"/>
        <v>2023</v>
      </c>
      <c r="M412" t="str">
        <f t="shared" si="27"/>
        <v>T2-2023</v>
      </c>
    </row>
    <row r="413" spans="1:13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 t="str">
        <f t="shared" si="24"/>
        <v>60+</v>
      </c>
      <c r="K413" t="str">
        <f t="shared" si="25"/>
        <v>sábado-09</v>
      </c>
      <c r="L413">
        <f t="shared" si="26"/>
        <v>2023</v>
      </c>
      <c r="M413" t="str">
        <f t="shared" si="27"/>
        <v>T3-2023</v>
      </c>
    </row>
    <row r="414" spans="1:13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 t="str">
        <f t="shared" si="24"/>
        <v>60+</v>
      </c>
      <c r="K414" t="str">
        <f t="shared" si="25"/>
        <v>viernes-09</v>
      </c>
      <c r="L414">
        <f t="shared" si="26"/>
        <v>2023</v>
      </c>
      <c r="M414" t="str">
        <f t="shared" si="27"/>
        <v>T3-2023</v>
      </c>
    </row>
    <row r="415" spans="1:13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 t="str">
        <f t="shared" si="24"/>
        <v>60+</v>
      </c>
      <c r="K415" t="str">
        <f t="shared" si="25"/>
        <v>martes-05</v>
      </c>
      <c r="L415">
        <f t="shared" si="26"/>
        <v>2023</v>
      </c>
      <c r="M415" t="str">
        <f t="shared" si="27"/>
        <v>T2-2023</v>
      </c>
    </row>
    <row r="416" spans="1:13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 t="str">
        <f t="shared" si="24"/>
        <v>60+</v>
      </c>
      <c r="K416" t="str">
        <f t="shared" si="25"/>
        <v>viernes-01</v>
      </c>
      <c r="L416">
        <f t="shared" si="26"/>
        <v>2023</v>
      </c>
      <c r="M416" t="str">
        <f t="shared" si="27"/>
        <v>T1-2023</v>
      </c>
    </row>
    <row r="417" spans="1:13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 t="str">
        <f t="shared" si="24"/>
        <v>60+</v>
      </c>
      <c r="K417" t="str">
        <f t="shared" si="25"/>
        <v>viernes-02</v>
      </c>
      <c r="L417">
        <f t="shared" si="26"/>
        <v>2023</v>
      </c>
      <c r="M417" t="str">
        <f t="shared" si="27"/>
        <v>T1-2023</v>
      </c>
    </row>
    <row r="418" spans="1:13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 t="str">
        <f t="shared" si="24"/>
        <v>60+</v>
      </c>
      <c r="K418" t="str">
        <f t="shared" si="25"/>
        <v>martes-11</v>
      </c>
      <c r="L418">
        <f t="shared" si="26"/>
        <v>2023</v>
      </c>
      <c r="M418" t="str">
        <f t="shared" si="27"/>
        <v>T4-2023</v>
      </c>
    </row>
    <row r="419" spans="1:13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 t="str">
        <f t="shared" si="24"/>
        <v>60+</v>
      </c>
      <c r="K419" t="str">
        <f t="shared" si="25"/>
        <v>sábado-08</v>
      </c>
      <c r="L419">
        <f t="shared" si="26"/>
        <v>2023</v>
      </c>
      <c r="M419" t="str">
        <f t="shared" si="27"/>
        <v>T3-2023</v>
      </c>
    </row>
    <row r="420" spans="1:13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 t="str">
        <f t="shared" si="24"/>
        <v>60+</v>
      </c>
      <c r="K420" t="str">
        <f t="shared" si="25"/>
        <v>lunes-05</v>
      </c>
      <c r="L420">
        <f t="shared" si="26"/>
        <v>2023</v>
      </c>
      <c r="M420" t="str">
        <f t="shared" si="27"/>
        <v>T2-2023</v>
      </c>
    </row>
    <row r="421" spans="1:13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 t="str">
        <f t="shared" si="24"/>
        <v>60+</v>
      </c>
      <c r="K421" t="str">
        <f t="shared" si="25"/>
        <v>lunes-01</v>
      </c>
      <c r="L421">
        <f t="shared" si="26"/>
        <v>2023</v>
      </c>
      <c r="M421" t="str">
        <f t="shared" si="27"/>
        <v>T1-2023</v>
      </c>
    </row>
    <row r="422" spans="1:13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 t="str">
        <f t="shared" si="24"/>
        <v>60+</v>
      </c>
      <c r="K422" t="str">
        <f t="shared" si="25"/>
        <v>lunes-01</v>
      </c>
      <c r="L422">
        <f t="shared" si="26"/>
        <v>2023</v>
      </c>
      <c r="M422" t="str">
        <f t="shared" si="27"/>
        <v>T1-2023</v>
      </c>
    </row>
    <row r="423" spans="1:13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 t="str">
        <f t="shared" si="24"/>
        <v>60+</v>
      </c>
      <c r="K423" t="str">
        <f t="shared" si="25"/>
        <v>martes-06</v>
      </c>
      <c r="L423">
        <f t="shared" si="26"/>
        <v>2023</v>
      </c>
      <c r="M423" t="str">
        <f t="shared" si="27"/>
        <v>T2-2023</v>
      </c>
    </row>
    <row r="424" spans="1:13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 t="str">
        <f t="shared" si="24"/>
        <v>60+</v>
      </c>
      <c r="K424" t="str">
        <f t="shared" si="25"/>
        <v>miércoles-03</v>
      </c>
      <c r="L424">
        <f t="shared" si="26"/>
        <v>2023</v>
      </c>
      <c r="M424" t="str">
        <f t="shared" si="27"/>
        <v>T1-2023</v>
      </c>
    </row>
    <row r="425" spans="1:13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 t="str">
        <f t="shared" si="24"/>
        <v>60+</v>
      </c>
      <c r="K425" t="str">
        <f t="shared" si="25"/>
        <v>jueves-11</v>
      </c>
      <c r="L425">
        <f t="shared" si="26"/>
        <v>2023</v>
      </c>
      <c r="M425" t="str">
        <f t="shared" si="27"/>
        <v>T4-2023</v>
      </c>
    </row>
    <row r="426" spans="1:13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 t="str">
        <f t="shared" si="24"/>
        <v>60+</v>
      </c>
      <c r="K426" t="str">
        <f t="shared" si="25"/>
        <v>lunes-05</v>
      </c>
      <c r="L426">
        <f t="shared" si="26"/>
        <v>2023</v>
      </c>
      <c r="M426" t="str">
        <f t="shared" si="27"/>
        <v>T2-2023</v>
      </c>
    </row>
    <row r="427" spans="1:13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 t="str">
        <f t="shared" si="24"/>
        <v>60+</v>
      </c>
      <c r="K427" t="str">
        <f t="shared" si="25"/>
        <v>viernes-03</v>
      </c>
      <c r="L427">
        <f t="shared" si="26"/>
        <v>2023</v>
      </c>
      <c r="M427" t="str">
        <f t="shared" si="27"/>
        <v>T1-2023</v>
      </c>
    </row>
    <row r="428" spans="1:13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 t="str">
        <f t="shared" si="24"/>
        <v>60+</v>
      </c>
      <c r="K428" t="str">
        <f t="shared" si="25"/>
        <v>martes-08</v>
      </c>
      <c r="L428">
        <f t="shared" si="26"/>
        <v>2023</v>
      </c>
      <c r="M428" t="str">
        <f t="shared" si="27"/>
        <v>T3-2023</v>
      </c>
    </row>
    <row r="429" spans="1:13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 t="str">
        <f t="shared" si="24"/>
        <v>60+</v>
      </c>
      <c r="K429" t="str">
        <f t="shared" si="25"/>
        <v>martes-10</v>
      </c>
      <c r="L429">
        <f t="shared" si="26"/>
        <v>2023</v>
      </c>
      <c r="M429" t="str">
        <f t="shared" si="27"/>
        <v>T4-2023</v>
      </c>
    </row>
    <row r="430" spans="1:13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 t="str">
        <f t="shared" si="24"/>
        <v>60+</v>
      </c>
      <c r="K430" t="str">
        <f t="shared" si="25"/>
        <v>jueves-12</v>
      </c>
      <c r="L430">
        <f t="shared" si="26"/>
        <v>2023</v>
      </c>
      <c r="M430" t="str">
        <f t="shared" si="27"/>
        <v>T4-2023</v>
      </c>
    </row>
    <row r="431" spans="1:13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 t="str">
        <f t="shared" si="24"/>
        <v>60+</v>
      </c>
      <c r="K431" t="str">
        <f t="shared" si="25"/>
        <v>lunes-08</v>
      </c>
      <c r="L431">
        <f t="shared" si="26"/>
        <v>2023</v>
      </c>
      <c r="M431" t="str">
        <f t="shared" si="27"/>
        <v>T3-2023</v>
      </c>
    </row>
    <row r="432" spans="1:13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 t="str">
        <f t="shared" si="24"/>
        <v>60+</v>
      </c>
      <c r="K432" t="str">
        <f t="shared" si="25"/>
        <v>domingo-10</v>
      </c>
      <c r="L432">
        <f t="shared" si="26"/>
        <v>2023</v>
      </c>
      <c r="M432" t="str">
        <f t="shared" si="27"/>
        <v>T4-2023</v>
      </c>
    </row>
    <row r="433" spans="1:13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 t="str">
        <f t="shared" si="24"/>
        <v>60+</v>
      </c>
      <c r="K433" t="str">
        <f t="shared" si="25"/>
        <v>jueves-01</v>
      </c>
      <c r="L433">
        <f t="shared" si="26"/>
        <v>2023</v>
      </c>
      <c r="M433" t="str">
        <f t="shared" si="27"/>
        <v>T1-2023</v>
      </c>
    </row>
    <row r="434" spans="1:13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 t="str">
        <f t="shared" si="24"/>
        <v>60+</v>
      </c>
      <c r="K434" t="str">
        <f t="shared" si="25"/>
        <v>lunes-02</v>
      </c>
      <c r="L434">
        <f t="shared" si="26"/>
        <v>2023</v>
      </c>
      <c r="M434" t="str">
        <f t="shared" si="27"/>
        <v>T1-2023</v>
      </c>
    </row>
    <row r="435" spans="1:13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 t="str">
        <f t="shared" si="24"/>
        <v>60+</v>
      </c>
      <c r="K435" t="str">
        <f t="shared" si="25"/>
        <v>miércoles-02</v>
      </c>
      <c r="L435">
        <f t="shared" si="26"/>
        <v>2023</v>
      </c>
      <c r="M435" t="str">
        <f t="shared" si="27"/>
        <v>T1-2023</v>
      </c>
    </row>
    <row r="436" spans="1:13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 t="str">
        <f t="shared" si="24"/>
        <v>60+</v>
      </c>
      <c r="K436" t="str">
        <f t="shared" si="25"/>
        <v>miércoles-12</v>
      </c>
      <c r="L436">
        <f t="shared" si="26"/>
        <v>2023</v>
      </c>
      <c r="M436" t="str">
        <f t="shared" si="27"/>
        <v>T4-2023</v>
      </c>
    </row>
    <row r="437" spans="1:13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 t="str">
        <f t="shared" si="24"/>
        <v>60+</v>
      </c>
      <c r="K437" t="str">
        <f t="shared" si="25"/>
        <v>sábado-03</v>
      </c>
      <c r="L437">
        <f t="shared" si="26"/>
        <v>2023</v>
      </c>
      <c r="M437" t="str">
        <f t="shared" si="27"/>
        <v>T1-2023</v>
      </c>
    </row>
    <row r="438" spans="1:13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 t="str">
        <f t="shared" si="24"/>
        <v>60+</v>
      </c>
      <c r="K438" t="str">
        <f t="shared" si="25"/>
        <v>sábado-10</v>
      </c>
      <c r="L438">
        <f t="shared" si="26"/>
        <v>2023</v>
      </c>
      <c r="M438" t="str">
        <f t="shared" si="27"/>
        <v>T4-2023</v>
      </c>
    </row>
    <row r="439" spans="1:13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 t="str">
        <f t="shared" si="24"/>
        <v>60+</v>
      </c>
      <c r="K439" t="str">
        <f t="shared" si="25"/>
        <v>jueves-01</v>
      </c>
      <c r="L439">
        <f t="shared" si="26"/>
        <v>2023</v>
      </c>
      <c r="M439" t="str">
        <f t="shared" si="27"/>
        <v>T1-2023</v>
      </c>
    </row>
    <row r="440" spans="1:13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 t="str">
        <f t="shared" si="24"/>
        <v>60+</v>
      </c>
      <c r="K440" t="str">
        <f t="shared" si="25"/>
        <v>domingo-07</v>
      </c>
      <c r="L440">
        <f t="shared" si="26"/>
        <v>2023</v>
      </c>
      <c r="M440" t="str">
        <f t="shared" si="27"/>
        <v>T3-2023</v>
      </c>
    </row>
    <row r="441" spans="1:13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 t="str">
        <f t="shared" si="24"/>
        <v>60+</v>
      </c>
      <c r="K441" t="str">
        <f t="shared" si="25"/>
        <v>jueves-10</v>
      </c>
      <c r="L441">
        <f t="shared" si="26"/>
        <v>2023</v>
      </c>
      <c r="M441" t="str">
        <f t="shared" si="27"/>
        <v>T4-2023</v>
      </c>
    </row>
    <row r="442" spans="1:13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 t="str">
        <f t="shared" si="24"/>
        <v>60+</v>
      </c>
      <c r="K442" t="str">
        <f t="shared" si="25"/>
        <v>martes-10</v>
      </c>
      <c r="L442">
        <f t="shared" si="26"/>
        <v>2023</v>
      </c>
      <c r="M442" t="str">
        <f t="shared" si="27"/>
        <v>T4-2023</v>
      </c>
    </row>
    <row r="443" spans="1:13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 t="str">
        <f t="shared" si="24"/>
        <v>60+</v>
      </c>
      <c r="K443" t="str">
        <f t="shared" si="25"/>
        <v>viernes-03</v>
      </c>
      <c r="L443">
        <f t="shared" si="26"/>
        <v>2023</v>
      </c>
      <c r="M443" t="str">
        <f t="shared" si="27"/>
        <v>T1-2023</v>
      </c>
    </row>
    <row r="444" spans="1:13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 t="str">
        <f t="shared" si="24"/>
        <v>60+</v>
      </c>
      <c r="K444" t="str">
        <f t="shared" si="25"/>
        <v>miércoles-08</v>
      </c>
      <c r="L444">
        <f t="shared" si="26"/>
        <v>2023</v>
      </c>
      <c r="M444" t="str">
        <f t="shared" si="27"/>
        <v>T3-2023</v>
      </c>
    </row>
    <row r="445" spans="1:13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 t="str">
        <f t="shared" si="24"/>
        <v>60+</v>
      </c>
      <c r="K445" t="str">
        <f t="shared" si="25"/>
        <v>martes-03</v>
      </c>
      <c r="L445">
        <f t="shared" si="26"/>
        <v>2023</v>
      </c>
      <c r="M445" t="str">
        <f t="shared" si="27"/>
        <v>T1-2023</v>
      </c>
    </row>
    <row r="446" spans="1:13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 t="str">
        <f t="shared" si="24"/>
        <v>60+</v>
      </c>
      <c r="K446" t="str">
        <f t="shared" si="25"/>
        <v>domingo-01</v>
      </c>
      <c r="L446">
        <f t="shared" si="26"/>
        <v>2023</v>
      </c>
      <c r="M446" t="str">
        <f t="shared" si="27"/>
        <v>T1-2023</v>
      </c>
    </row>
    <row r="447" spans="1:13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 t="str">
        <f t="shared" si="24"/>
        <v>60+</v>
      </c>
      <c r="K447" t="str">
        <f t="shared" si="25"/>
        <v>miércoles-06</v>
      </c>
      <c r="L447">
        <f t="shared" si="26"/>
        <v>2023</v>
      </c>
      <c r="M447" t="str">
        <f t="shared" si="27"/>
        <v>T2-2023</v>
      </c>
    </row>
    <row r="448" spans="1:13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 t="str">
        <f t="shared" si="24"/>
        <v>60+</v>
      </c>
      <c r="K448" t="str">
        <f t="shared" si="25"/>
        <v>jueves-07</v>
      </c>
      <c r="L448">
        <f t="shared" si="26"/>
        <v>2023</v>
      </c>
      <c r="M448" t="str">
        <f t="shared" si="27"/>
        <v>T3-2023</v>
      </c>
    </row>
    <row r="449" spans="1:13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 t="str">
        <f t="shared" si="24"/>
        <v>60+</v>
      </c>
      <c r="K449" t="str">
        <f t="shared" si="25"/>
        <v>sábado-01</v>
      </c>
      <c r="L449">
        <f t="shared" si="26"/>
        <v>2023</v>
      </c>
      <c r="M449" t="str">
        <f t="shared" si="27"/>
        <v>T1-2023</v>
      </c>
    </row>
    <row r="450" spans="1:13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 t="str">
        <f t="shared" si="24"/>
        <v>60+</v>
      </c>
      <c r="K450" t="str">
        <f t="shared" si="25"/>
        <v>lunes-07</v>
      </c>
      <c r="L450">
        <f t="shared" si="26"/>
        <v>2023</v>
      </c>
      <c r="M450" t="str">
        <f t="shared" si="27"/>
        <v>T3-2023</v>
      </c>
    </row>
    <row r="451" spans="1:13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 t="str">
        <f t="shared" ref="J451:J514" si="28">IF(D451&lt;30,"18-29",IF(D451&lt;45,"30-44",IF(D451&lt;60,"45-59","60+")))</f>
        <v>60+</v>
      </c>
      <c r="K451" t="str">
        <f t="shared" ref="K451:K514" si="29">TEXT(B451,"AAAA-MM")</f>
        <v>martes-04</v>
      </c>
      <c r="L451">
        <f t="shared" ref="L451:L514" si="30">YEAR(B451)</f>
        <v>2023</v>
      </c>
      <c r="M451" t="str">
        <f t="shared" ref="M451:M514" si="31">"T"&amp;INT((MONTH(B451)-1)/3+1)&amp;"-"&amp;YEAR(B451)</f>
        <v>T2-2023</v>
      </c>
    </row>
    <row r="452" spans="1:13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 t="str">
        <f t="shared" si="28"/>
        <v>60+</v>
      </c>
      <c r="K452" t="str">
        <f t="shared" si="29"/>
        <v>sábado-12</v>
      </c>
      <c r="L452">
        <f t="shared" si="30"/>
        <v>2023</v>
      </c>
      <c r="M452" t="str">
        <f t="shared" si="31"/>
        <v>T4-2023</v>
      </c>
    </row>
    <row r="453" spans="1:13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 t="str">
        <f t="shared" si="28"/>
        <v>60+</v>
      </c>
      <c r="K453" t="str">
        <f t="shared" si="29"/>
        <v>lunes-05</v>
      </c>
      <c r="L453">
        <f t="shared" si="30"/>
        <v>2023</v>
      </c>
      <c r="M453" t="str">
        <f t="shared" si="31"/>
        <v>T2-2023</v>
      </c>
    </row>
    <row r="454" spans="1:13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 t="str">
        <f t="shared" si="28"/>
        <v>60+</v>
      </c>
      <c r="K454" t="str">
        <f t="shared" si="29"/>
        <v>viernes-12</v>
      </c>
      <c r="L454">
        <f t="shared" si="30"/>
        <v>2023</v>
      </c>
      <c r="M454" t="str">
        <f t="shared" si="31"/>
        <v>T4-2023</v>
      </c>
    </row>
    <row r="455" spans="1:13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 t="str">
        <f t="shared" si="28"/>
        <v>60+</v>
      </c>
      <c r="K455" t="str">
        <f t="shared" si="29"/>
        <v>miércoles-02</v>
      </c>
      <c r="L455">
        <f t="shared" si="30"/>
        <v>2023</v>
      </c>
      <c r="M455" t="str">
        <f t="shared" si="31"/>
        <v>T1-2023</v>
      </c>
    </row>
    <row r="456" spans="1:13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 t="str">
        <f t="shared" si="28"/>
        <v>60+</v>
      </c>
      <c r="K456" t="str">
        <f t="shared" si="29"/>
        <v>sábado-07</v>
      </c>
      <c r="L456">
        <f t="shared" si="30"/>
        <v>2023</v>
      </c>
      <c r="M456" t="str">
        <f t="shared" si="31"/>
        <v>T3-2023</v>
      </c>
    </row>
    <row r="457" spans="1:13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 t="str">
        <f t="shared" si="28"/>
        <v>60+</v>
      </c>
      <c r="K457" t="str">
        <f t="shared" si="29"/>
        <v>sábado-10</v>
      </c>
      <c r="L457">
        <f t="shared" si="30"/>
        <v>2023</v>
      </c>
      <c r="M457" t="str">
        <f t="shared" si="31"/>
        <v>T4-2023</v>
      </c>
    </row>
    <row r="458" spans="1:13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 t="str">
        <f t="shared" si="28"/>
        <v>60+</v>
      </c>
      <c r="K458" t="str">
        <f t="shared" si="29"/>
        <v>viernes-07</v>
      </c>
      <c r="L458">
        <f t="shared" si="30"/>
        <v>2023</v>
      </c>
      <c r="M458" t="str">
        <f t="shared" si="31"/>
        <v>T3-2023</v>
      </c>
    </row>
    <row r="459" spans="1:13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 t="str">
        <f t="shared" si="28"/>
        <v>60+</v>
      </c>
      <c r="K459" t="str">
        <f t="shared" si="29"/>
        <v>martes-11</v>
      </c>
      <c r="L459">
        <f t="shared" si="30"/>
        <v>2023</v>
      </c>
      <c r="M459" t="str">
        <f t="shared" si="31"/>
        <v>T4-2023</v>
      </c>
    </row>
    <row r="460" spans="1:13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 t="str">
        <f t="shared" si="28"/>
        <v>60+</v>
      </c>
      <c r="K460" t="str">
        <f t="shared" si="29"/>
        <v>martes-03</v>
      </c>
      <c r="L460">
        <f t="shared" si="30"/>
        <v>2023</v>
      </c>
      <c r="M460" t="str">
        <f t="shared" si="31"/>
        <v>T1-2023</v>
      </c>
    </row>
    <row r="461" spans="1:13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 t="str">
        <f t="shared" si="28"/>
        <v>60+</v>
      </c>
      <c r="K461" t="str">
        <f t="shared" si="29"/>
        <v>martes-05</v>
      </c>
      <c r="L461">
        <f t="shared" si="30"/>
        <v>2023</v>
      </c>
      <c r="M461" t="str">
        <f t="shared" si="31"/>
        <v>T2-2023</v>
      </c>
    </row>
    <row r="462" spans="1:13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 t="str">
        <f t="shared" si="28"/>
        <v>60+</v>
      </c>
      <c r="K462" t="str">
        <f t="shared" si="29"/>
        <v>sábado-03</v>
      </c>
      <c r="L462">
        <f t="shared" si="30"/>
        <v>2023</v>
      </c>
      <c r="M462" t="str">
        <f t="shared" si="31"/>
        <v>T1-2023</v>
      </c>
    </row>
    <row r="463" spans="1:13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 t="str">
        <f t="shared" si="28"/>
        <v>60+</v>
      </c>
      <c r="K463" t="str">
        <f t="shared" si="29"/>
        <v>sábado-04</v>
      </c>
      <c r="L463">
        <f t="shared" si="30"/>
        <v>2023</v>
      </c>
      <c r="M463" t="str">
        <f t="shared" si="31"/>
        <v>T2-2023</v>
      </c>
    </row>
    <row r="464" spans="1:13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 t="str">
        <f t="shared" si="28"/>
        <v>60+</v>
      </c>
      <c r="K464" t="str">
        <f t="shared" si="29"/>
        <v>lunes-07</v>
      </c>
      <c r="L464">
        <f t="shared" si="30"/>
        <v>2023</v>
      </c>
      <c r="M464" t="str">
        <f t="shared" si="31"/>
        <v>T3-2023</v>
      </c>
    </row>
    <row r="465" spans="1:13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 t="str">
        <f t="shared" si="28"/>
        <v>60+</v>
      </c>
      <c r="K465" t="str">
        <f t="shared" si="29"/>
        <v>viernes-01</v>
      </c>
      <c r="L465">
        <f t="shared" si="30"/>
        <v>2023</v>
      </c>
      <c r="M465" t="str">
        <f t="shared" si="31"/>
        <v>T1-2023</v>
      </c>
    </row>
    <row r="466" spans="1:13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 t="str">
        <f t="shared" si="28"/>
        <v>60+</v>
      </c>
      <c r="K466" t="str">
        <f t="shared" si="29"/>
        <v>domingo-04</v>
      </c>
      <c r="L466">
        <f t="shared" si="30"/>
        <v>2023</v>
      </c>
      <c r="M466" t="str">
        <f t="shared" si="31"/>
        <v>T2-2023</v>
      </c>
    </row>
    <row r="467" spans="1:13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 t="str">
        <f t="shared" si="28"/>
        <v>60+</v>
      </c>
      <c r="K467" t="str">
        <f t="shared" si="29"/>
        <v>martes-06</v>
      </c>
      <c r="L467">
        <f t="shared" si="30"/>
        <v>2023</v>
      </c>
      <c r="M467" t="str">
        <f t="shared" si="31"/>
        <v>T2-2023</v>
      </c>
    </row>
    <row r="468" spans="1:13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 t="str">
        <f t="shared" si="28"/>
        <v>60+</v>
      </c>
      <c r="K468" t="str">
        <f t="shared" si="29"/>
        <v>domingo-07</v>
      </c>
      <c r="L468">
        <f t="shared" si="30"/>
        <v>2023</v>
      </c>
      <c r="M468" t="str">
        <f t="shared" si="31"/>
        <v>T3-2023</v>
      </c>
    </row>
    <row r="469" spans="1:13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 t="str">
        <f t="shared" si="28"/>
        <v>60+</v>
      </c>
      <c r="K469" t="str">
        <f t="shared" si="29"/>
        <v>sábado-12</v>
      </c>
      <c r="L469">
        <f t="shared" si="30"/>
        <v>2023</v>
      </c>
      <c r="M469" t="str">
        <f t="shared" si="31"/>
        <v>T4-2023</v>
      </c>
    </row>
    <row r="470" spans="1:13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 t="str">
        <f t="shared" si="28"/>
        <v>60+</v>
      </c>
      <c r="K470" t="str">
        <f t="shared" si="29"/>
        <v>lunes-05</v>
      </c>
      <c r="L470">
        <f t="shared" si="30"/>
        <v>2023</v>
      </c>
      <c r="M470" t="str">
        <f t="shared" si="31"/>
        <v>T2-2023</v>
      </c>
    </row>
    <row r="471" spans="1:13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 t="str">
        <f t="shared" si="28"/>
        <v>60+</v>
      </c>
      <c r="K471" t="str">
        <f t="shared" si="29"/>
        <v>miércoles-05</v>
      </c>
      <c r="L471">
        <f t="shared" si="30"/>
        <v>2023</v>
      </c>
      <c r="M471" t="str">
        <f t="shared" si="31"/>
        <v>T2-2023</v>
      </c>
    </row>
    <row r="472" spans="1:13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 t="str">
        <f t="shared" si="28"/>
        <v>60+</v>
      </c>
      <c r="K472" t="str">
        <f t="shared" si="29"/>
        <v>jueves-03</v>
      </c>
      <c r="L472">
        <f t="shared" si="30"/>
        <v>2023</v>
      </c>
      <c r="M472" t="str">
        <f t="shared" si="31"/>
        <v>T1-2023</v>
      </c>
    </row>
    <row r="473" spans="1:13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 t="str">
        <f t="shared" si="28"/>
        <v>60+</v>
      </c>
      <c r="K473" t="str">
        <f t="shared" si="29"/>
        <v>martes-12</v>
      </c>
      <c r="L473">
        <f t="shared" si="30"/>
        <v>2023</v>
      </c>
      <c r="M473" t="str">
        <f t="shared" si="31"/>
        <v>T4-2023</v>
      </c>
    </row>
    <row r="474" spans="1:13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 t="str">
        <f t="shared" si="28"/>
        <v>60+</v>
      </c>
      <c r="K474" t="str">
        <f t="shared" si="29"/>
        <v>sábado-02</v>
      </c>
      <c r="L474">
        <f t="shared" si="30"/>
        <v>2023</v>
      </c>
      <c r="M474" t="str">
        <f t="shared" si="31"/>
        <v>T1-2023</v>
      </c>
    </row>
    <row r="475" spans="1:13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 t="str">
        <f t="shared" si="28"/>
        <v>60+</v>
      </c>
      <c r="K475" t="str">
        <f t="shared" si="29"/>
        <v>sábado-07</v>
      </c>
      <c r="L475">
        <f t="shared" si="30"/>
        <v>2023</v>
      </c>
      <c r="M475" t="str">
        <f t="shared" si="31"/>
        <v>T3-2023</v>
      </c>
    </row>
    <row r="476" spans="1:13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 t="str">
        <f t="shared" si="28"/>
        <v>60+</v>
      </c>
      <c r="K476" t="str">
        <f t="shared" si="29"/>
        <v>viernes-01</v>
      </c>
      <c r="L476">
        <f t="shared" si="30"/>
        <v>2023</v>
      </c>
      <c r="M476" t="str">
        <f t="shared" si="31"/>
        <v>T1-2023</v>
      </c>
    </row>
    <row r="477" spans="1:13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 t="str">
        <f t="shared" si="28"/>
        <v>60+</v>
      </c>
      <c r="K477" t="str">
        <f t="shared" si="29"/>
        <v>martes-08</v>
      </c>
      <c r="L477">
        <f t="shared" si="30"/>
        <v>2023</v>
      </c>
      <c r="M477" t="str">
        <f t="shared" si="31"/>
        <v>T3-2023</v>
      </c>
    </row>
    <row r="478" spans="1:13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 t="str">
        <f t="shared" si="28"/>
        <v>60+</v>
      </c>
      <c r="K478" t="str">
        <f t="shared" si="29"/>
        <v>lunes-04</v>
      </c>
      <c r="L478">
        <f t="shared" si="30"/>
        <v>2023</v>
      </c>
      <c r="M478" t="str">
        <f t="shared" si="31"/>
        <v>T2-2023</v>
      </c>
    </row>
    <row r="479" spans="1:13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 t="str">
        <f t="shared" si="28"/>
        <v>60+</v>
      </c>
      <c r="K479" t="str">
        <f t="shared" si="29"/>
        <v>jueves-04</v>
      </c>
      <c r="L479">
        <f t="shared" si="30"/>
        <v>2023</v>
      </c>
      <c r="M479" t="str">
        <f t="shared" si="31"/>
        <v>T2-2023</v>
      </c>
    </row>
    <row r="480" spans="1:13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 t="str">
        <f t="shared" si="28"/>
        <v>60+</v>
      </c>
      <c r="K480" t="str">
        <f t="shared" si="29"/>
        <v>jueves-08</v>
      </c>
      <c r="L480">
        <f t="shared" si="30"/>
        <v>2023</v>
      </c>
      <c r="M480" t="str">
        <f t="shared" si="31"/>
        <v>T3-2023</v>
      </c>
    </row>
    <row r="481" spans="1:13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 t="str">
        <f t="shared" si="28"/>
        <v>60+</v>
      </c>
      <c r="K481" t="str">
        <f t="shared" si="29"/>
        <v>jueves-06</v>
      </c>
      <c r="L481">
        <f t="shared" si="30"/>
        <v>2023</v>
      </c>
      <c r="M481" t="str">
        <f t="shared" si="31"/>
        <v>T2-2023</v>
      </c>
    </row>
    <row r="482" spans="1:13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 t="str">
        <f t="shared" si="28"/>
        <v>60+</v>
      </c>
      <c r="K482" t="str">
        <f t="shared" si="29"/>
        <v>martes-06</v>
      </c>
      <c r="L482">
        <f t="shared" si="30"/>
        <v>2023</v>
      </c>
      <c r="M482" t="str">
        <f t="shared" si="31"/>
        <v>T2-2023</v>
      </c>
    </row>
    <row r="483" spans="1:13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 t="str">
        <f t="shared" si="28"/>
        <v>60+</v>
      </c>
      <c r="K483" t="str">
        <f t="shared" si="29"/>
        <v>jueves-04</v>
      </c>
      <c r="L483">
        <f t="shared" si="30"/>
        <v>2023</v>
      </c>
      <c r="M483" t="str">
        <f t="shared" si="31"/>
        <v>T2-2023</v>
      </c>
    </row>
    <row r="484" spans="1:13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 t="str">
        <f t="shared" si="28"/>
        <v>60+</v>
      </c>
      <c r="K484" t="str">
        <f t="shared" si="29"/>
        <v>martes-04</v>
      </c>
      <c r="L484">
        <f t="shared" si="30"/>
        <v>2023</v>
      </c>
      <c r="M484" t="str">
        <f t="shared" si="31"/>
        <v>T2-2023</v>
      </c>
    </row>
    <row r="485" spans="1:13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 t="str">
        <f t="shared" si="28"/>
        <v>60+</v>
      </c>
      <c r="K485" t="str">
        <f t="shared" si="29"/>
        <v>viernes-01</v>
      </c>
      <c r="L485">
        <f t="shared" si="30"/>
        <v>2023</v>
      </c>
      <c r="M485" t="str">
        <f t="shared" si="31"/>
        <v>T1-2023</v>
      </c>
    </row>
    <row r="486" spans="1:13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 t="str">
        <f t="shared" si="28"/>
        <v>60+</v>
      </c>
      <c r="K486" t="str">
        <f t="shared" si="29"/>
        <v>lunes-12</v>
      </c>
      <c r="L486">
        <f t="shared" si="30"/>
        <v>2023</v>
      </c>
      <c r="M486" t="str">
        <f t="shared" si="31"/>
        <v>T4-2023</v>
      </c>
    </row>
    <row r="487" spans="1:13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 t="str">
        <f t="shared" si="28"/>
        <v>60+</v>
      </c>
      <c r="K487" t="str">
        <f t="shared" si="29"/>
        <v>domingo-04</v>
      </c>
      <c r="L487">
        <f t="shared" si="30"/>
        <v>2023</v>
      </c>
      <c r="M487" t="str">
        <f t="shared" si="31"/>
        <v>T2-2023</v>
      </c>
    </row>
    <row r="488" spans="1:13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 t="str">
        <f t="shared" si="28"/>
        <v>60+</v>
      </c>
      <c r="K488" t="str">
        <f t="shared" si="29"/>
        <v>lunes-07</v>
      </c>
      <c r="L488">
        <f t="shared" si="30"/>
        <v>2023</v>
      </c>
      <c r="M488" t="str">
        <f t="shared" si="31"/>
        <v>T3-2023</v>
      </c>
    </row>
    <row r="489" spans="1:13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 t="str">
        <f t="shared" si="28"/>
        <v>60+</v>
      </c>
      <c r="K489" t="str">
        <f t="shared" si="29"/>
        <v>domingo-06</v>
      </c>
      <c r="L489">
        <f t="shared" si="30"/>
        <v>2023</v>
      </c>
      <c r="M489" t="str">
        <f t="shared" si="31"/>
        <v>T2-2023</v>
      </c>
    </row>
    <row r="490" spans="1:13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 t="str">
        <f t="shared" si="28"/>
        <v>60+</v>
      </c>
      <c r="K490" t="str">
        <f t="shared" si="29"/>
        <v>martes-05</v>
      </c>
      <c r="L490">
        <f t="shared" si="30"/>
        <v>2023</v>
      </c>
      <c r="M490" t="str">
        <f t="shared" si="31"/>
        <v>T2-2023</v>
      </c>
    </row>
    <row r="491" spans="1:13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 t="str">
        <f t="shared" si="28"/>
        <v>60+</v>
      </c>
      <c r="K491" t="str">
        <f t="shared" si="29"/>
        <v>domingo-02</v>
      </c>
      <c r="L491">
        <f t="shared" si="30"/>
        <v>2023</v>
      </c>
      <c r="M491" t="str">
        <f t="shared" si="31"/>
        <v>T1-2023</v>
      </c>
    </row>
    <row r="492" spans="1:13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 t="str">
        <f t="shared" si="28"/>
        <v>60+</v>
      </c>
      <c r="K492" t="str">
        <f t="shared" si="29"/>
        <v>martes-05</v>
      </c>
      <c r="L492">
        <f t="shared" si="30"/>
        <v>2023</v>
      </c>
      <c r="M492" t="str">
        <f t="shared" si="31"/>
        <v>T2-2023</v>
      </c>
    </row>
    <row r="493" spans="1:13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 t="str">
        <f t="shared" si="28"/>
        <v>60+</v>
      </c>
      <c r="K493" t="str">
        <f t="shared" si="29"/>
        <v>jueves-06</v>
      </c>
      <c r="L493">
        <f t="shared" si="30"/>
        <v>2023</v>
      </c>
      <c r="M493" t="str">
        <f t="shared" si="31"/>
        <v>T2-2023</v>
      </c>
    </row>
    <row r="494" spans="1:13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 t="str">
        <f t="shared" si="28"/>
        <v>60+</v>
      </c>
      <c r="K494" t="str">
        <f t="shared" si="29"/>
        <v>sábado-11</v>
      </c>
      <c r="L494">
        <f t="shared" si="30"/>
        <v>2023</v>
      </c>
      <c r="M494" t="str">
        <f t="shared" si="31"/>
        <v>T4-2023</v>
      </c>
    </row>
    <row r="495" spans="1:13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 t="str">
        <f t="shared" si="28"/>
        <v>60+</v>
      </c>
      <c r="K495" t="str">
        <f t="shared" si="29"/>
        <v>lunes-09</v>
      </c>
      <c r="L495">
        <f t="shared" si="30"/>
        <v>2023</v>
      </c>
      <c r="M495" t="str">
        <f t="shared" si="31"/>
        <v>T3-2023</v>
      </c>
    </row>
    <row r="496" spans="1:13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 t="str">
        <f t="shared" si="28"/>
        <v>60+</v>
      </c>
      <c r="K496" t="str">
        <f t="shared" si="29"/>
        <v>lunes-07</v>
      </c>
      <c r="L496">
        <f t="shared" si="30"/>
        <v>2023</v>
      </c>
      <c r="M496" t="str">
        <f t="shared" si="31"/>
        <v>T3-2023</v>
      </c>
    </row>
    <row r="497" spans="1:13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 t="str">
        <f t="shared" si="28"/>
        <v>60+</v>
      </c>
      <c r="K497" t="str">
        <f t="shared" si="29"/>
        <v>jueves-12</v>
      </c>
      <c r="L497">
        <f t="shared" si="30"/>
        <v>2023</v>
      </c>
      <c r="M497" t="str">
        <f t="shared" si="31"/>
        <v>T4-2023</v>
      </c>
    </row>
    <row r="498" spans="1:13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 t="str">
        <f t="shared" si="28"/>
        <v>60+</v>
      </c>
      <c r="K498" t="str">
        <f t="shared" si="29"/>
        <v>lunes-10</v>
      </c>
      <c r="L498">
        <f t="shared" si="30"/>
        <v>2023</v>
      </c>
      <c r="M498" t="str">
        <f t="shared" si="31"/>
        <v>T4-2023</v>
      </c>
    </row>
    <row r="499" spans="1:13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 t="str">
        <f t="shared" si="28"/>
        <v>60+</v>
      </c>
      <c r="K499" t="str">
        <f t="shared" si="29"/>
        <v>lunes-06</v>
      </c>
      <c r="L499">
        <f t="shared" si="30"/>
        <v>2023</v>
      </c>
      <c r="M499" t="str">
        <f t="shared" si="31"/>
        <v>T2-2023</v>
      </c>
    </row>
    <row r="500" spans="1:13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 t="str">
        <f t="shared" si="28"/>
        <v>60+</v>
      </c>
      <c r="K500" t="str">
        <f t="shared" si="29"/>
        <v>domingo-01</v>
      </c>
      <c r="L500">
        <f t="shared" si="30"/>
        <v>2023</v>
      </c>
      <c r="M500" t="str">
        <f t="shared" si="31"/>
        <v>T1-2023</v>
      </c>
    </row>
    <row r="501" spans="1:13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 t="str">
        <f t="shared" si="28"/>
        <v>60+</v>
      </c>
      <c r="K501" t="str">
        <f t="shared" si="29"/>
        <v>miércoles-03</v>
      </c>
      <c r="L501">
        <f t="shared" si="30"/>
        <v>2023</v>
      </c>
      <c r="M501" t="str">
        <f t="shared" si="31"/>
        <v>T1-2023</v>
      </c>
    </row>
    <row r="502" spans="1:13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 t="str">
        <f t="shared" si="28"/>
        <v>60+</v>
      </c>
      <c r="K502" t="str">
        <f t="shared" si="29"/>
        <v>domingo-05</v>
      </c>
      <c r="L502">
        <f t="shared" si="30"/>
        <v>2023</v>
      </c>
      <c r="M502" t="str">
        <f t="shared" si="31"/>
        <v>T2-2023</v>
      </c>
    </row>
    <row r="503" spans="1:13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 t="str">
        <f t="shared" si="28"/>
        <v>60+</v>
      </c>
      <c r="K503" t="str">
        <f t="shared" si="29"/>
        <v>domingo-04</v>
      </c>
      <c r="L503">
        <f t="shared" si="30"/>
        <v>2023</v>
      </c>
      <c r="M503" t="str">
        <f t="shared" si="31"/>
        <v>T2-2023</v>
      </c>
    </row>
    <row r="504" spans="1:13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 t="str">
        <f t="shared" si="28"/>
        <v>60+</v>
      </c>
      <c r="K504" t="str">
        <f t="shared" si="29"/>
        <v>miércoles-10</v>
      </c>
      <c r="L504">
        <f t="shared" si="30"/>
        <v>2023</v>
      </c>
      <c r="M504" t="str">
        <f t="shared" si="31"/>
        <v>T4-2023</v>
      </c>
    </row>
    <row r="505" spans="1:13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 t="str">
        <f t="shared" si="28"/>
        <v>60+</v>
      </c>
      <c r="K505" t="str">
        <f t="shared" si="29"/>
        <v>martes-05</v>
      </c>
      <c r="L505">
        <f t="shared" si="30"/>
        <v>2023</v>
      </c>
      <c r="M505" t="str">
        <f t="shared" si="31"/>
        <v>T2-2023</v>
      </c>
    </row>
    <row r="506" spans="1:13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 t="str">
        <f t="shared" si="28"/>
        <v>60+</v>
      </c>
      <c r="K506" t="str">
        <f t="shared" si="29"/>
        <v>viernes-01</v>
      </c>
      <c r="L506">
        <f t="shared" si="30"/>
        <v>2023</v>
      </c>
      <c r="M506" t="str">
        <f t="shared" si="31"/>
        <v>T1-2023</v>
      </c>
    </row>
    <row r="507" spans="1:13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 t="str">
        <f t="shared" si="28"/>
        <v>60+</v>
      </c>
      <c r="K507" t="str">
        <f t="shared" si="29"/>
        <v>sábado-02</v>
      </c>
      <c r="L507">
        <f t="shared" si="30"/>
        <v>2023</v>
      </c>
      <c r="M507" t="str">
        <f t="shared" si="31"/>
        <v>T1-2023</v>
      </c>
    </row>
    <row r="508" spans="1:13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 t="str">
        <f t="shared" si="28"/>
        <v>60+</v>
      </c>
      <c r="K508" t="str">
        <f t="shared" si="29"/>
        <v>jueves-11</v>
      </c>
      <c r="L508">
        <f t="shared" si="30"/>
        <v>2023</v>
      </c>
      <c r="M508" t="str">
        <f t="shared" si="31"/>
        <v>T4-2023</v>
      </c>
    </row>
    <row r="509" spans="1:13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 t="str">
        <f t="shared" si="28"/>
        <v>60+</v>
      </c>
      <c r="K509" t="str">
        <f t="shared" si="29"/>
        <v>viernes-08</v>
      </c>
      <c r="L509">
        <f t="shared" si="30"/>
        <v>2023</v>
      </c>
      <c r="M509" t="str">
        <f t="shared" si="31"/>
        <v>T3-2023</v>
      </c>
    </row>
    <row r="510" spans="1:13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 t="str">
        <f t="shared" si="28"/>
        <v>60+</v>
      </c>
      <c r="K510" t="str">
        <f t="shared" si="29"/>
        <v>lunes-06</v>
      </c>
      <c r="L510">
        <f t="shared" si="30"/>
        <v>2023</v>
      </c>
      <c r="M510" t="str">
        <f t="shared" si="31"/>
        <v>T2-2023</v>
      </c>
    </row>
    <row r="511" spans="1:13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 t="str">
        <f t="shared" si="28"/>
        <v>60+</v>
      </c>
      <c r="K511" t="str">
        <f t="shared" si="29"/>
        <v>sábado-06</v>
      </c>
      <c r="L511">
        <f t="shared" si="30"/>
        <v>2023</v>
      </c>
      <c r="M511" t="str">
        <f t="shared" si="31"/>
        <v>T2-2023</v>
      </c>
    </row>
    <row r="512" spans="1:13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 t="str">
        <f t="shared" si="28"/>
        <v>60+</v>
      </c>
      <c r="K512" t="str">
        <f t="shared" si="29"/>
        <v>sábado-08</v>
      </c>
      <c r="L512">
        <f t="shared" si="30"/>
        <v>2023</v>
      </c>
      <c r="M512" t="str">
        <f t="shared" si="31"/>
        <v>T3-2023</v>
      </c>
    </row>
    <row r="513" spans="1:13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 t="str">
        <f t="shared" si="28"/>
        <v>60+</v>
      </c>
      <c r="K513" t="str">
        <f t="shared" si="29"/>
        <v>martes-11</v>
      </c>
      <c r="L513">
        <f t="shared" si="30"/>
        <v>2023</v>
      </c>
      <c r="M513" t="str">
        <f t="shared" si="31"/>
        <v>T4-2023</v>
      </c>
    </row>
    <row r="514" spans="1:13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 t="str">
        <f t="shared" si="28"/>
        <v>60+</v>
      </c>
      <c r="K514" t="str">
        <f t="shared" si="29"/>
        <v>martes-09</v>
      </c>
      <c r="L514">
        <f t="shared" si="30"/>
        <v>2023</v>
      </c>
      <c r="M514" t="str">
        <f t="shared" si="31"/>
        <v>T3-2023</v>
      </c>
    </row>
    <row r="515" spans="1:13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 t="str">
        <f t="shared" ref="J515:J578" si="32">IF(D515&lt;30,"18-29",IF(D515&lt;45,"30-44",IF(D515&lt;60,"45-59","60+")))</f>
        <v>60+</v>
      </c>
      <c r="K515" t="str">
        <f t="shared" ref="K515:K578" si="33">TEXT(B515,"AAAA-MM")</f>
        <v>miércoles-03</v>
      </c>
      <c r="L515">
        <f t="shared" ref="L515:L578" si="34">YEAR(B515)</f>
        <v>2023</v>
      </c>
      <c r="M515" t="str">
        <f t="shared" ref="M515:M578" si="35">"T"&amp;INT((MONTH(B515)-1)/3+1)&amp;"-"&amp;YEAR(B515)</f>
        <v>T1-2023</v>
      </c>
    </row>
    <row r="516" spans="1:13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 t="str">
        <f t="shared" si="32"/>
        <v>60+</v>
      </c>
      <c r="K516" t="str">
        <f t="shared" si="33"/>
        <v>lunes-07</v>
      </c>
      <c r="L516">
        <f t="shared" si="34"/>
        <v>2023</v>
      </c>
      <c r="M516" t="str">
        <f t="shared" si="35"/>
        <v>T3-2023</v>
      </c>
    </row>
    <row r="517" spans="1:13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 t="str">
        <f t="shared" si="32"/>
        <v>60+</v>
      </c>
      <c r="K517" t="str">
        <f t="shared" si="33"/>
        <v>lunes-10</v>
      </c>
      <c r="L517">
        <f t="shared" si="34"/>
        <v>2023</v>
      </c>
      <c r="M517" t="str">
        <f t="shared" si="35"/>
        <v>T4-2023</v>
      </c>
    </row>
    <row r="518" spans="1:13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 t="str">
        <f t="shared" si="32"/>
        <v>60+</v>
      </c>
      <c r="K518" t="str">
        <f t="shared" si="33"/>
        <v>sábado-04</v>
      </c>
      <c r="L518">
        <f t="shared" si="34"/>
        <v>2023</v>
      </c>
      <c r="M518" t="str">
        <f t="shared" si="35"/>
        <v>T2-2023</v>
      </c>
    </row>
    <row r="519" spans="1:13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 t="str">
        <f t="shared" si="32"/>
        <v>60+</v>
      </c>
      <c r="K519" t="str">
        <f t="shared" si="33"/>
        <v>jueves-05</v>
      </c>
      <c r="L519">
        <f t="shared" si="34"/>
        <v>2023</v>
      </c>
      <c r="M519" t="str">
        <f t="shared" si="35"/>
        <v>T2-2023</v>
      </c>
    </row>
    <row r="520" spans="1:13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 t="str">
        <f t="shared" si="32"/>
        <v>60+</v>
      </c>
      <c r="K520" t="str">
        <f t="shared" si="33"/>
        <v>lunes-01</v>
      </c>
      <c r="L520">
        <f t="shared" si="34"/>
        <v>2023</v>
      </c>
      <c r="M520" t="str">
        <f t="shared" si="35"/>
        <v>T1-2023</v>
      </c>
    </row>
    <row r="521" spans="1:13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 t="str">
        <f t="shared" si="32"/>
        <v>60+</v>
      </c>
      <c r="K521" t="str">
        <f t="shared" si="33"/>
        <v>viernes-12</v>
      </c>
      <c r="L521">
        <f t="shared" si="34"/>
        <v>2023</v>
      </c>
      <c r="M521" t="str">
        <f t="shared" si="35"/>
        <v>T4-2023</v>
      </c>
    </row>
    <row r="522" spans="1:13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 t="str">
        <f t="shared" si="32"/>
        <v>60+</v>
      </c>
      <c r="K522" t="str">
        <f t="shared" si="33"/>
        <v>sábado-08</v>
      </c>
      <c r="L522">
        <f t="shared" si="34"/>
        <v>2023</v>
      </c>
      <c r="M522" t="str">
        <f t="shared" si="35"/>
        <v>T3-2023</v>
      </c>
    </row>
    <row r="523" spans="1:13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 t="str">
        <f t="shared" si="32"/>
        <v>60+</v>
      </c>
      <c r="K523" t="str">
        <f t="shared" si="33"/>
        <v>domingo-01</v>
      </c>
      <c r="L523">
        <f t="shared" si="34"/>
        <v>2023</v>
      </c>
      <c r="M523" t="str">
        <f t="shared" si="35"/>
        <v>T1-2023</v>
      </c>
    </row>
    <row r="524" spans="1:13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 t="str">
        <f t="shared" si="32"/>
        <v>60+</v>
      </c>
      <c r="K524" t="str">
        <f t="shared" si="33"/>
        <v>domingo-09</v>
      </c>
      <c r="L524">
        <f t="shared" si="34"/>
        <v>2023</v>
      </c>
      <c r="M524" t="str">
        <f t="shared" si="35"/>
        <v>T3-2023</v>
      </c>
    </row>
    <row r="525" spans="1:13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 t="str">
        <f t="shared" si="32"/>
        <v>60+</v>
      </c>
      <c r="K525" t="str">
        <f t="shared" si="33"/>
        <v>martes-10</v>
      </c>
      <c r="L525">
        <f t="shared" si="34"/>
        <v>2023</v>
      </c>
      <c r="M525" t="str">
        <f t="shared" si="35"/>
        <v>T4-2023</v>
      </c>
    </row>
    <row r="526" spans="1:13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 t="str">
        <f t="shared" si="32"/>
        <v>60+</v>
      </c>
      <c r="K526" t="str">
        <f t="shared" si="33"/>
        <v>lunes-12</v>
      </c>
      <c r="L526">
        <f t="shared" si="34"/>
        <v>2023</v>
      </c>
      <c r="M526" t="str">
        <f t="shared" si="35"/>
        <v>T4-2023</v>
      </c>
    </row>
    <row r="527" spans="1:13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 t="str">
        <f t="shared" si="32"/>
        <v>60+</v>
      </c>
      <c r="K527" t="str">
        <f t="shared" si="33"/>
        <v>domingo-12</v>
      </c>
      <c r="L527">
        <f t="shared" si="34"/>
        <v>2023</v>
      </c>
      <c r="M527" t="str">
        <f t="shared" si="35"/>
        <v>T4-2023</v>
      </c>
    </row>
    <row r="528" spans="1:13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 t="str">
        <f t="shared" si="32"/>
        <v>60+</v>
      </c>
      <c r="K528" t="str">
        <f t="shared" si="33"/>
        <v>martes-04</v>
      </c>
      <c r="L528">
        <f t="shared" si="34"/>
        <v>2023</v>
      </c>
      <c r="M528" t="str">
        <f t="shared" si="35"/>
        <v>T2-2023</v>
      </c>
    </row>
    <row r="529" spans="1:13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 t="str">
        <f t="shared" si="32"/>
        <v>60+</v>
      </c>
      <c r="K529" t="str">
        <f t="shared" si="33"/>
        <v>jueves-07</v>
      </c>
      <c r="L529">
        <f t="shared" si="34"/>
        <v>2023</v>
      </c>
      <c r="M529" t="str">
        <f t="shared" si="35"/>
        <v>T3-2023</v>
      </c>
    </row>
    <row r="530" spans="1:13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 t="str">
        <f t="shared" si="32"/>
        <v>60+</v>
      </c>
      <c r="K530" t="str">
        <f t="shared" si="33"/>
        <v>miércoles-08</v>
      </c>
      <c r="L530">
        <f t="shared" si="34"/>
        <v>2023</v>
      </c>
      <c r="M530" t="str">
        <f t="shared" si="35"/>
        <v>T3-2023</v>
      </c>
    </row>
    <row r="531" spans="1:13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 t="str">
        <f t="shared" si="32"/>
        <v>60+</v>
      </c>
      <c r="K531" t="str">
        <f t="shared" si="33"/>
        <v>domingo-02</v>
      </c>
      <c r="L531">
        <f t="shared" si="34"/>
        <v>2023</v>
      </c>
      <c r="M531" t="str">
        <f t="shared" si="35"/>
        <v>T1-2023</v>
      </c>
    </row>
    <row r="532" spans="1:13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 t="str">
        <f t="shared" si="32"/>
        <v>60+</v>
      </c>
      <c r="K532" t="str">
        <f t="shared" si="33"/>
        <v>jueves-12</v>
      </c>
      <c r="L532">
        <f t="shared" si="34"/>
        <v>2023</v>
      </c>
      <c r="M532" t="str">
        <f t="shared" si="35"/>
        <v>T4-2023</v>
      </c>
    </row>
    <row r="533" spans="1:13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 t="str">
        <f t="shared" si="32"/>
        <v>60+</v>
      </c>
      <c r="K533" t="str">
        <f t="shared" si="33"/>
        <v>lunes-06</v>
      </c>
      <c r="L533">
        <f t="shared" si="34"/>
        <v>2023</v>
      </c>
      <c r="M533" t="str">
        <f t="shared" si="35"/>
        <v>T2-2023</v>
      </c>
    </row>
    <row r="534" spans="1:13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 t="str">
        <f t="shared" si="32"/>
        <v>60+</v>
      </c>
      <c r="K534" t="str">
        <f t="shared" si="33"/>
        <v>jueves-11</v>
      </c>
      <c r="L534">
        <f t="shared" si="34"/>
        <v>2023</v>
      </c>
      <c r="M534" t="str">
        <f t="shared" si="35"/>
        <v>T4-2023</v>
      </c>
    </row>
    <row r="535" spans="1:13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 t="str">
        <f t="shared" si="32"/>
        <v>60+</v>
      </c>
      <c r="K535" t="str">
        <f t="shared" si="33"/>
        <v>sábado-06</v>
      </c>
      <c r="L535">
        <f t="shared" si="34"/>
        <v>2023</v>
      </c>
      <c r="M535" t="str">
        <f t="shared" si="35"/>
        <v>T2-2023</v>
      </c>
    </row>
    <row r="536" spans="1:13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 t="str">
        <f t="shared" si="32"/>
        <v>60+</v>
      </c>
      <c r="K536" t="str">
        <f t="shared" si="33"/>
        <v>miércoles-12</v>
      </c>
      <c r="L536">
        <f t="shared" si="34"/>
        <v>2023</v>
      </c>
      <c r="M536" t="str">
        <f t="shared" si="35"/>
        <v>T4-2023</v>
      </c>
    </row>
    <row r="537" spans="1:13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 t="str">
        <f t="shared" si="32"/>
        <v>60+</v>
      </c>
      <c r="K537" t="str">
        <f t="shared" si="33"/>
        <v>domingo-03</v>
      </c>
      <c r="L537">
        <f t="shared" si="34"/>
        <v>2023</v>
      </c>
      <c r="M537" t="str">
        <f t="shared" si="35"/>
        <v>T1-2023</v>
      </c>
    </row>
    <row r="538" spans="1:13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 t="str">
        <f t="shared" si="32"/>
        <v>60+</v>
      </c>
      <c r="K538" t="str">
        <f t="shared" si="33"/>
        <v>sábado-06</v>
      </c>
      <c r="L538">
        <f t="shared" si="34"/>
        <v>2023</v>
      </c>
      <c r="M538" t="str">
        <f t="shared" si="35"/>
        <v>T2-2023</v>
      </c>
    </row>
    <row r="539" spans="1:13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 t="str">
        <f t="shared" si="32"/>
        <v>60+</v>
      </c>
      <c r="K539" t="str">
        <f t="shared" si="33"/>
        <v>domingo-09</v>
      </c>
      <c r="L539">
        <f t="shared" si="34"/>
        <v>2023</v>
      </c>
      <c r="M539" t="str">
        <f t="shared" si="35"/>
        <v>T3-2023</v>
      </c>
    </row>
    <row r="540" spans="1:13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 t="str">
        <f t="shared" si="32"/>
        <v>60+</v>
      </c>
      <c r="K540" t="str">
        <f t="shared" si="33"/>
        <v>jueves-06</v>
      </c>
      <c r="L540">
        <f t="shared" si="34"/>
        <v>2023</v>
      </c>
      <c r="M540" t="str">
        <f t="shared" si="35"/>
        <v>T2-2023</v>
      </c>
    </row>
    <row r="541" spans="1:13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 t="str">
        <f t="shared" si="32"/>
        <v>60+</v>
      </c>
      <c r="K541" t="str">
        <f t="shared" si="33"/>
        <v>viernes-12</v>
      </c>
      <c r="L541">
        <f t="shared" si="34"/>
        <v>2023</v>
      </c>
      <c r="M541" t="str">
        <f t="shared" si="35"/>
        <v>T4-2023</v>
      </c>
    </row>
    <row r="542" spans="1:13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 t="str">
        <f t="shared" si="32"/>
        <v>60+</v>
      </c>
      <c r="K542" t="str">
        <f t="shared" si="33"/>
        <v>sábado-07</v>
      </c>
      <c r="L542">
        <f t="shared" si="34"/>
        <v>2023</v>
      </c>
      <c r="M542" t="str">
        <f t="shared" si="35"/>
        <v>T3-2023</v>
      </c>
    </row>
    <row r="543" spans="1:13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 t="str">
        <f t="shared" si="32"/>
        <v>60+</v>
      </c>
      <c r="K543" t="str">
        <f t="shared" si="33"/>
        <v>sábado-06</v>
      </c>
      <c r="L543">
        <f t="shared" si="34"/>
        <v>2023</v>
      </c>
      <c r="M543" t="str">
        <f t="shared" si="35"/>
        <v>T2-2023</v>
      </c>
    </row>
    <row r="544" spans="1:13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 t="str">
        <f t="shared" si="32"/>
        <v>60+</v>
      </c>
      <c r="K544" t="str">
        <f t="shared" si="33"/>
        <v>miércoles-07</v>
      </c>
      <c r="L544">
        <f t="shared" si="34"/>
        <v>2023</v>
      </c>
      <c r="M544" t="str">
        <f t="shared" si="35"/>
        <v>T3-2023</v>
      </c>
    </row>
    <row r="545" spans="1:13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 t="str">
        <f t="shared" si="32"/>
        <v>60+</v>
      </c>
      <c r="K545" t="str">
        <f t="shared" si="33"/>
        <v>sábado-12</v>
      </c>
      <c r="L545">
        <f t="shared" si="34"/>
        <v>2023</v>
      </c>
      <c r="M545" t="str">
        <f t="shared" si="35"/>
        <v>T4-2023</v>
      </c>
    </row>
    <row r="546" spans="1:13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 t="str">
        <f t="shared" si="32"/>
        <v>60+</v>
      </c>
      <c r="K546" t="str">
        <f t="shared" si="33"/>
        <v>jueves-06</v>
      </c>
      <c r="L546">
        <f t="shared" si="34"/>
        <v>2023</v>
      </c>
      <c r="M546" t="str">
        <f t="shared" si="35"/>
        <v>T2-2023</v>
      </c>
    </row>
    <row r="547" spans="1:13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 t="str">
        <f t="shared" si="32"/>
        <v>60+</v>
      </c>
      <c r="K547" t="str">
        <f t="shared" si="33"/>
        <v>miércoles-10</v>
      </c>
      <c r="L547">
        <f t="shared" si="34"/>
        <v>2023</v>
      </c>
      <c r="M547" t="str">
        <f t="shared" si="35"/>
        <v>T4-2023</v>
      </c>
    </row>
    <row r="548" spans="1:13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 t="str">
        <f t="shared" si="32"/>
        <v>60+</v>
      </c>
      <c r="K548" t="str">
        <f t="shared" si="33"/>
        <v>martes-03</v>
      </c>
      <c r="L548">
        <f t="shared" si="34"/>
        <v>2023</v>
      </c>
      <c r="M548" t="str">
        <f t="shared" si="35"/>
        <v>T1-2023</v>
      </c>
    </row>
    <row r="549" spans="1:13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 t="str">
        <f t="shared" si="32"/>
        <v>60+</v>
      </c>
      <c r="K549" t="str">
        <f t="shared" si="33"/>
        <v>domingo-04</v>
      </c>
      <c r="L549">
        <f t="shared" si="34"/>
        <v>2023</v>
      </c>
      <c r="M549" t="str">
        <f t="shared" si="35"/>
        <v>T2-2023</v>
      </c>
    </row>
    <row r="550" spans="1:13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 t="str">
        <f t="shared" si="32"/>
        <v>60+</v>
      </c>
      <c r="K550" t="str">
        <f t="shared" si="33"/>
        <v>viernes-08</v>
      </c>
      <c r="L550">
        <f t="shared" si="34"/>
        <v>2023</v>
      </c>
      <c r="M550" t="str">
        <f t="shared" si="35"/>
        <v>T3-2023</v>
      </c>
    </row>
    <row r="551" spans="1:13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 t="str">
        <f t="shared" si="32"/>
        <v>60+</v>
      </c>
      <c r="K551" t="str">
        <f t="shared" si="33"/>
        <v>jueves-12</v>
      </c>
      <c r="L551">
        <f t="shared" si="34"/>
        <v>2023</v>
      </c>
      <c r="M551" t="str">
        <f t="shared" si="35"/>
        <v>T4-2023</v>
      </c>
    </row>
    <row r="552" spans="1:13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 t="str">
        <f t="shared" si="32"/>
        <v>60+</v>
      </c>
      <c r="K552" t="str">
        <f t="shared" si="33"/>
        <v>viernes-07</v>
      </c>
      <c r="L552">
        <f t="shared" si="34"/>
        <v>2023</v>
      </c>
      <c r="M552" t="str">
        <f t="shared" si="35"/>
        <v>T3-2023</v>
      </c>
    </row>
    <row r="553" spans="1:13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 t="str">
        <f t="shared" si="32"/>
        <v>60+</v>
      </c>
      <c r="K553" t="str">
        <f t="shared" si="33"/>
        <v>miércoles-12</v>
      </c>
      <c r="L553">
        <f t="shared" si="34"/>
        <v>2023</v>
      </c>
      <c r="M553" t="str">
        <f t="shared" si="35"/>
        <v>T4-2023</v>
      </c>
    </row>
    <row r="554" spans="1:13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 t="str">
        <f t="shared" si="32"/>
        <v>60+</v>
      </c>
      <c r="K554" t="str">
        <f t="shared" si="33"/>
        <v>viernes-03</v>
      </c>
      <c r="L554">
        <f t="shared" si="34"/>
        <v>2023</v>
      </c>
      <c r="M554" t="str">
        <f t="shared" si="35"/>
        <v>T1-2023</v>
      </c>
    </row>
    <row r="555" spans="1:13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 t="str">
        <f t="shared" si="32"/>
        <v>60+</v>
      </c>
      <c r="K555" t="str">
        <f t="shared" si="33"/>
        <v>domingo-11</v>
      </c>
      <c r="L555">
        <f t="shared" si="34"/>
        <v>2023</v>
      </c>
      <c r="M555" t="str">
        <f t="shared" si="35"/>
        <v>T4-2023</v>
      </c>
    </row>
    <row r="556" spans="1:13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 t="str">
        <f t="shared" si="32"/>
        <v>60+</v>
      </c>
      <c r="K556" t="str">
        <f t="shared" si="33"/>
        <v>jueves-10</v>
      </c>
      <c r="L556">
        <f t="shared" si="34"/>
        <v>2023</v>
      </c>
      <c r="M556" t="str">
        <f t="shared" si="35"/>
        <v>T4-2023</v>
      </c>
    </row>
    <row r="557" spans="1:13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 t="str">
        <f t="shared" si="32"/>
        <v>60+</v>
      </c>
      <c r="K557" t="str">
        <f t="shared" si="33"/>
        <v>domingo-06</v>
      </c>
      <c r="L557">
        <f t="shared" si="34"/>
        <v>2023</v>
      </c>
      <c r="M557" t="str">
        <f t="shared" si="35"/>
        <v>T2-2023</v>
      </c>
    </row>
    <row r="558" spans="1:13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 t="str">
        <f t="shared" si="32"/>
        <v>60+</v>
      </c>
      <c r="K558" t="str">
        <f t="shared" si="33"/>
        <v>jueves-07</v>
      </c>
      <c r="L558">
        <f t="shared" si="34"/>
        <v>2023</v>
      </c>
      <c r="M558" t="str">
        <f t="shared" si="35"/>
        <v>T3-2023</v>
      </c>
    </row>
    <row r="559" spans="1:13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 t="str">
        <f t="shared" si="32"/>
        <v>60+</v>
      </c>
      <c r="K559" t="str">
        <f t="shared" si="33"/>
        <v>domingo-10</v>
      </c>
      <c r="L559">
        <f t="shared" si="34"/>
        <v>2023</v>
      </c>
      <c r="M559" t="str">
        <f t="shared" si="35"/>
        <v>T4-2023</v>
      </c>
    </row>
    <row r="560" spans="1:13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 t="str">
        <f t="shared" si="32"/>
        <v>60+</v>
      </c>
      <c r="K560" t="str">
        <f t="shared" si="33"/>
        <v>domingo-01</v>
      </c>
      <c r="L560">
        <f t="shared" si="34"/>
        <v>2023</v>
      </c>
      <c r="M560" t="str">
        <f t="shared" si="35"/>
        <v>T1-2023</v>
      </c>
    </row>
    <row r="561" spans="1:13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 t="str">
        <f t="shared" si="32"/>
        <v>60+</v>
      </c>
      <c r="K561" t="str">
        <f t="shared" si="33"/>
        <v>lunes-06</v>
      </c>
      <c r="L561">
        <f t="shared" si="34"/>
        <v>2023</v>
      </c>
      <c r="M561" t="str">
        <f t="shared" si="35"/>
        <v>T2-2023</v>
      </c>
    </row>
    <row r="562" spans="1:13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 t="str">
        <f t="shared" si="32"/>
        <v>60+</v>
      </c>
      <c r="K562" t="str">
        <f t="shared" si="33"/>
        <v>sábado-05</v>
      </c>
      <c r="L562">
        <f t="shared" si="34"/>
        <v>2023</v>
      </c>
      <c r="M562" t="str">
        <f t="shared" si="35"/>
        <v>T2-2023</v>
      </c>
    </row>
    <row r="563" spans="1:13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 t="str">
        <f t="shared" si="32"/>
        <v>60+</v>
      </c>
      <c r="K563" t="str">
        <f t="shared" si="33"/>
        <v>martes-04</v>
      </c>
      <c r="L563">
        <f t="shared" si="34"/>
        <v>2023</v>
      </c>
      <c r="M563" t="str">
        <f t="shared" si="35"/>
        <v>T2-2023</v>
      </c>
    </row>
    <row r="564" spans="1:13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 t="str">
        <f t="shared" si="32"/>
        <v>60+</v>
      </c>
      <c r="K564" t="str">
        <f t="shared" si="33"/>
        <v>miércoles-08</v>
      </c>
      <c r="L564">
        <f t="shared" si="34"/>
        <v>2023</v>
      </c>
      <c r="M564" t="str">
        <f t="shared" si="35"/>
        <v>T3-2023</v>
      </c>
    </row>
    <row r="565" spans="1:13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 t="str">
        <f t="shared" si="32"/>
        <v>60+</v>
      </c>
      <c r="K565" t="str">
        <f t="shared" si="33"/>
        <v>martes-10</v>
      </c>
      <c r="L565">
        <f t="shared" si="34"/>
        <v>2023</v>
      </c>
      <c r="M565" t="str">
        <f t="shared" si="35"/>
        <v>T4-2023</v>
      </c>
    </row>
    <row r="566" spans="1:13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 t="str">
        <f t="shared" si="32"/>
        <v>60+</v>
      </c>
      <c r="K566" t="str">
        <f t="shared" si="33"/>
        <v>martes-11</v>
      </c>
      <c r="L566">
        <f t="shared" si="34"/>
        <v>2023</v>
      </c>
      <c r="M566" t="str">
        <f t="shared" si="35"/>
        <v>T4-2023</v>
      </c>
    </row>
    <row r="567" spans="1:13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 t="str">
        <f t="shared" si="32"/>
        <v>60+</v>
      </c>
      <c r="K567" t="str">
        <f t="shared" si="33"/>
        <v>sábado-12</v>
      </c>
      <c r="L567">
        <f t="shared" si="34"/>
        <v>2023</v>
      </c>
      <c r="M567" t="str">
        <f t="shared" si="35"/>
        <v>T4-2023</v>
      </c>
    </row>
    <row r="568" spans="1:13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 t="str">
        <f t="shared" si="32"/>
        <v>60+</v>
      </c>
      <c r="K568" t="str">
        <f t="shared" si="33"/>
        <v>miércoles-06</v>
      </c>
      <c r="L568">
        <f t="shared" si="34"/>
        <v>2023</v>
      </c>
      <c r="M568" t="str">
        <f t="shared" si="35"/>
        <v>T2-2023</v>
      </c>
    </row>
    <row r="569" spans="1:13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 t="str">
        <f t="shared" si="32"/>
        <v>60+</v>
      </c>
      <c r="K569" t="str">
        <f t="shared" si="33"/>
        <v>domingo-08</v>
      </c>
      <c r="L569">
        <f t="shared" si="34"/>
        <v>2023</v>
      </c>
      <c r="M569" t="str">
        <f t="shared" si="35"/>
        <v>T3-2023</v>
      </c>
    </row>
    <row r="570" spans="1:13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 t="str">
        <f t="shared" si="32"/>
        <v>60+</v>
      </c>
      <c r="K570" t="str">
        <f t="shared" si="33"/>
        <v>martes-08</v>
      </c>
      <c r="L570">
        <f t="shared" si="34"/>
        <v>2023</v>
      </c>
      <c r="M570" t="str">
        <f t="shared" si="35"/>
        <v>T3-2023</v>
      </c>
    </row>
    <row r="571" spans="1:13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 t="str">
        <f t="shared" si="32"/>
        <v>60+</v>
      </c>
      <c r="K571" t="str">
        <f t="shared" si="33"/>
        <v>martes-08</v>
      </c>
      <c r="L571">
        <f t="shared" si="34"/>
        <v>2023</v>
      </c>
      <c r="M571" t="str">
        <f t="shared" si="35"/>
        <v>T3-2023</v>
      </c>
    </row>
    <row r="572" spans="1:13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 t="str">
        <f t="shared" si="32"/>
        <v>60+</v>
      </c>
      <c r="K572" t="str">
        <f t="shared" si="33"/>
        <v>martes-12</v>
      </c>
      <c r="L572">
        <f t="shared" si="34"/>
        <v>2023</v>
      </c>
      <c r="M572" t="str">
        <f t="shared" si="35"/>
        <v>T4-2023</v>
      </c>
    </row>
    <row r="573" spans="1:13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 t="str">
        <f t="shared" si="32"/>
        <v>60+</v>
      </c>
      <c r="K573" t="str">
        <f t="shared" si="33"/>
        <v>jueves-04</v>
      </c>
      <c r="L573">
        <f t="shared" si="34"/>
        <v>2023</v>
      </c>
      <c r="M573" t="str">
        <f t="shared" si="35"/>
        <v>T2-2023</v>
      </c>
    </row>
    <row r="574" spans="1:13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 t="str">
        <f t="shared" si="32"/>
        <v>60+</v>
      </c>
      <c r="K574" t="str">
        <f t="shared" si="33"/>
        <v>martes-09</v>
      </c>
      <c r="L574">
        <f t="shared" si="34"/>
        <v>2023</v>
      </c>
      <c r="M574" t="str">
        <f t="shared" si="35"/>
        <v>T3-2023</v>
      </c>
    </row>
    <row r="575" spans="1:13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 t="str">
        <f t="shared" si="32"/>
        <v>60+</v>
      </c>
      <c r="K575" t="str">
        <f t="shared" si="33"/>
        <v>jueves-08</v>
      </c>
      <c r="L575">
        <f t="shared" si="34"/>
        <v>2023</v>
      </c>
      <c r="M575" t="str">
        <f t="shared" si="35"/>
        <v>T3-2023</v>
      </c>
    </row>
    <row r="576" spans="1:13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 t="str">
        <f t="shared" si="32"/>
        <v>60+</v>
      </c>
      <c r="K576" t="str">
        <f t="shared" si="33"/>
        <v>martes-03</v>
      </c>
      <c r="L576">
        <f t="shared" si="34"/>
        <v>2023</v>
      </c>
      <c r="M576" t="str">
        <f t="shared" si="35"/>
        <v>T1-2023</v>
      </c>
    </row>
    <row r="577" spans="1:13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 t="str">
        <f t="shared" si="32"/>
        <v>60+</v>
      </c>
      <c r="K577" t="str">
        <f t="shared" si="33"/>
        <v>lunes-12</v>
      </c>
      <c r="L577">
        <f t="shared" si="34"/>
        <v>2023</v>
      </c>
      <c r="M577" t="str">
        <f t="shared" si="35"/>
        <v>T4-2023</v>
      </c>
    </row>
    <row r="578" spans="1:13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 t="str">
        <f t="shared" si="32"/>
        <v>60+</v>
      </c>
      <c r="K578" t="str">
        <f t="shared" si="33"/>
        <v>lunes-02</v>
      </c>
      <c r="L578">
        <f t="shared" si="34"/>
        <v>2023</v>
      </c>
      <c r="M578" t="str">
        <f t="shared" si="35"/>
        <v>T1-2023</v>
      </c>
    </row>
    <row r="579" spans="1:13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 t="str">
        <f t="shared" ref="J579:J642" si="36">IF(D579&lt;30,"18-29",IF(D579&lt;45,"30-44",IF(D579&lt;60,"45-59","60+")))</f>
        <v>60+</v>
      </c>
      <c r="K579" t="str">
        <f t="shared" ref="K579:K642" si="37">TEXT(B579,"AAAA-MM")</f>
        <v>viernes-05</v>
      </c>
      <c r="L579">
        <f t="shared" ref="L579:L642" si="38">YEAR(B579)</f>
        <v>2023</v>
      </c>
      <c r="M579" t="str">
        <f t="shared" ref="M579:M642" si="39">"T"&amp;INT((MONTH(B579)-1)/3+1)&amp;"-"&amp;YEAR(B579)</f>
        <v>T2-2023</v>
      </c>
    </row>
    <row r="580" spans="1:13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 t="str">
        <f t="shared" si="36"/>
        <v>60+</v>
      </c>
      <c r="K580" t="str">
        <f t="shared" si="37"/>
        <v>jueves-09</v>
      </c>
      <c r="L580">
        <f t="shared" si="38"/>
        <v>2023</v>
      </c>
      <c r="M580" t="str">
        <f t="shared" si="39"/>
        <v>T3-2023</v>
      </c>
    </row>
    <row r="581" spans="1:13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 t="str">
        <f t="shared" si="36"/>
        <v>60+</v>
      </c>
      <c r="K581" t="str">
        <f t="shared" si="37"/>
        <v>miércoles-12</v>
      </c>
      <c r="L581">
        <f t="shared" si="38"/>
        <v>2023</v>
      </c>
      <c r="M581" t="str">
        <f t="shared" si="39"/>
        <v>T4-2023</v>
      </c>
    </row>
    <row r="582" spans="1:13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 t="str">
        <f t="shared" si="36"/>
        <v>60+</v>
      </c>
      <c r="K582" t="str">
        <f t="shared" si="37"/>
        <v>martes-11</v>
      </c>
      <c r="L582">
        <f t="shared" si="38"/>
        <v>2023</v>
      </c>
      <c r="M582" t="str">
        <f t="shared" si="39"/>
        <v>T4-2023</v>
      </c>
    </row>
    <row r="583" spans="1:13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 t="str">
        <f t="shared" si="36"/>
        <v>60+</v>
      </c>
      <c r="K583" t="str">
        <f t="shared" si="37"/>
        <v>martes-11</v>
      </c>
      <c r="L583">
        <f t="shared" si="38"/>
        <v>2023</v>
      </c>
      <c r="M583" t="str">
        <f t="shared" si="39"/>
        <v>T4-2023</v>
      </c>
    </row>
    <row r="584" spans="1:13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 t="str">
        <f t="shared" si="36"/>
        <v>60+</v>
      </c>
      <c r="K584" t="str">
        <f t="shared" si="37"/>
        <v>miércoles-06</v>
      </c>
      <c r="L584">
        <f t="shared" si="38"/>
        <v>2023</v>
      </c>
      <c r="M584" t="str">
        <f t="shared" si="39"/>
        <v>T2-2023</v>
      </c>
    </row>
    <row r="585" spans="1:13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 t="str">
        <f t="shared" si="36"/>
        <v>60+</v>
      </c>
      <c r="K585" t="str">
        <f t="shared" si="37"/>
        <v>viernes-02</v>
      </c>
      <c r="L585">
        <f t="shared" si="38"/>
        <v>2023</v>
      </c>
      <c r="M585" t="str">
        <f t="shared" si="39"/>
        <v>T1-2023</v>
      </c>
    </row>
    <row r="586" spans="1:13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 t="str">
        <f t="shared" si="36"/>
        <v>60+</v>
      </c>
      <c r="K586" t="str">
        <f t="shared" si="37"/>
        <v>lunes-05</v>
      </c>
      <c r="L586">
        <f t="shared" si="38"/>
        <v>2023</v>
      </c>
      <c r="M586" t="str">
        <f t="shared" si="39"/>
        <v>T2-2023</v>
      </c>
    </row>
    <row r="587" spans="1:13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 t="str">
        <f t="shared" si="36"/>
        <v>60+</v>
      </c>
      <c r="K587" t="str">
        <f t="shared" si="37"/>
        <v>lunes-12</v>
      </c>
      <c r="L587">
        <f t="shared" si="38"/>
        <v>2023</v>
      </c>
      <c r="M587" t="str">
        <f t="shared" si="39"/>
        <v>T4-2023</v>
      </c>
    </row>
    <row r="588" spans="1:13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 t="str">
        <f t="shared" si="36"/>
        <v>60+</v>
      </c>
      <c r="K588" t="str">
        <f t="shared" si="37"/>
        <v>jueves-06</v>
      </c>
      <c r="L588">
        <f t="shared" si="38"/>
        <v>2023</v>
      </c>
      <c r="M588" t="str">
        <f t="shared" si="39"/>
        <v>T2-2023</v>
      </c>
    </row>
    <row r="589" spans="1:13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 t="str">
        <f t="shared" si="36"/>
        <v>60+</v>
      </c>
      <c r="K589" t="str">
        <f t="shared" si="37"/>
        <v>miércoles-04</v>
      </c>
      <c r="L589">
        <f t="shared" si="38"/>
        <v>2023</v>
      </c>
      <c r="M589" t="str">
        <f t="shared" si="39"/>
        <v>T2-2023</v>
      </c>
    </row>
    <row r="590" spans="1:13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 t="str">
        <f t="shared" si="36"/>
        <v>60+</v>
      </c>
      <c r="K590" t="str">
        <f t="shared" si="37"/>
        <v>miércoles-04</v>
      </c>
      <c r="L590">
        <f t="shared" si="38"/>
        <v>2023</v>
      </c>
      <c r="M590" t="str">
        <f t="shared" si="39"/>
        <v>T2-2023</v>
      </c>
    </row>
    <row r="591" spans="1:13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 t="str">
        <f t="shared" si="36"/>
        <v>60+</v>
      </c>
      <c r="K591" t="str">
        <f t="shared" si="37"/>
        <v>viernes-03</v>
      </c>
      <c r="L591">
        <f t="shared" si="38"/>
        <v>2023</v>
      </c>
      <c r="M591" t="str">
        <f t="shared" si="39"/>
        <v>T1-2023</v>
      </c>
    </row>
    <row r="592" spans="1:13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 t="str">
        <f t="shared" si="36"/>
        <v>60+</v>
      </c>
      <c r="K592" t="str">
        <f t="shared" si="37"/>
        <v>viernes-01</v>
      </c>
      <c r="L592">
        <f t="shared" si="38"/>
        <v>2023</v>
      </c>
      <c r="M592" t="str">
        <f t="shared" si="39"/>
        <v>T1-2023</v>
      </c>
    </row>
    <row r="593" spans="1:13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 t="str">
        <f t="shared" si="36"/>
        <v>60+</v>
      </c>
      <c r="K593" t="str">
        <f t="shared" si="37"/>
        <v>martes-01</v>
      </c>
      <c r="L593">
        <f t="shared" si="38"/>
        <v>2023</v>
      </c>
      <c r="M593" t="str">
        <f t="shared" si="39"/>
        <v>T1-2023</v>
      </c>
    </row>
    <row r="594" spans="1:13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 t="str">
        <f t="shared" si="36"/>
        <v>60+</v>
      </c>
      <c r="K594" t="str">
        <f t="shared" si="37"/>
        <v>sábado-05</v>
      </c>
      <c r="L594">
        <f t="shared" si="38"/>
        <v>2023</v>
      </c>
      <c r="M594" t="str">
        <f t="shared" si="39"/>
        <v>T2-2023</v>
      </c>
    </row>
    <row r="595" spans="1:13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 t="str">
        <f t="shared" si="36"/>
        <v>60+</v>
      </c>
      <c r="K595" t="str">
        <f t="shared" si="37"/>
        <v>viernes-09</v>
      </c>
      <c r="L595">
        <f t="shared" si="38"/>
        <v>2023</v>
      </c>
      <c r="M595" t="str">
        <f t="shared" si="39"/>
        <v>T3-2023</v>
      </c>
    </row>
    <row r="596" spans="1:13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 t="str">
        <f t="shared" si="36"/>
        <v>60+</v>
      </c>
      <c r="K596" t="str">
        <f t="shared" si="37"/>
        <v>jueves-11</v>
      </c>
      <c r="L596">
        <f t="shared" si="38"/>
        <v>2023</v>
      </c>
      <c r="M596" t="str">
        <f t="shared" si="39"/>
        <v>T4-2023</v>
      </c>
    </row>
    <row r="597" spans="1:13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 t="str">
        <f t="shared" si="36"/>
        <v>60+</v>
      </c>
      <c r="K597" t="str">
        <f t="shared" si="37"/>
        <v>martes-02</v>
      </c>
      <c r="L597">
        <f t="shared" si="38"/>
        <v>2023</v>
      </c>
      <c r="M597" t="str">
        <f t="shared" si="39"/>
        <v>T1-2023</v>
      </c>
    </row>
    <row r="598" spans="1:13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 t="str">
        <f t="shared" si="36"/>
        <v>60+</v>
      </c>
      <c r="K598" t="str">
        <f t="shared" si="37"/>
        <v>martes-08</v>
      </c>
      <c r="L598">
        <f t="shared" si="38"/>
        <v>2023</v>
      </c>
      <c r="M598" t="str">
        <f t="shared" si="39"/>
        <v>T3-2023</v>
      </c>
    </row>
    <row r="599" spans="1:13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 t="str">
        <f t="shared" si="36"/>
        <v>60+</v>
      </c>
      <c r="K599" t="str">
        <f t="shared" si="37"/>
        <v>martes-08</v>
      </c>
      <c r="L599">
        <f t="shared" si="38"/>
        <v>2023</v>
      </c>
      <c r="M599" t="str">
        <f t="shared" si="39"/>
        <v>T3-2023</v>
      </c>
    </row>
    <row r="600" spans="1:13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 t="str">
        <f t="shared" si="36"/>
        <v>60+</v>
      </c>
      <c r="K600" t="str">
        <f t="shared" si="37"/>
        <v>domingo-11</v>
      </c>
      <c r="L600">
        <f t="shared" si="38"/>
        <v>2023</v>
      </c>
      <c r="M600" t="str">
        <f t="shared" si="39"/>
        <v>T4-2023</v>
      </c>
    </row>
    <row r="601" spans="1:13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 t="str">
        <f t="shared" si="36"/>
        <v>60+</v>
      </c>
      <c r="K601" t="str">
        <f t="shared" si="37"/>
        <v>domingo-10</v>
      </c>
      <c r="L601">
        <f t="shared" si="38"/>
        <v>2023</v>
      </c>
      <c r="M601" t="str">
        <f t="shared" si="39"/>
        <v>T4-2023</v>
      </c>
    </row>
    <row r="602" spans="1:13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 t="str">
        <f t="shared" si="36"/>
        <v>60+</v>
      </c>
      <c r="K602" t="str">
        <f t="shared" si="37"/>
        <v>lunes-04</v>
      </c>
      <c r="L602">
        <f t="shared" si="38"/>
        <v>2023</v>
      </c>
      <c r="M602" t="str">
        <f t="shared" si="39"/>
        <v>T2-2023</v>
      </c>
    </row>
    <row r="603" spans="1:13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 t="str">
        <f t="shared" si="36"/>
        <v>60+</v>
      </c>
      <c r="K603" t="str">
        <f t="shared" si="37"/>
        <v>sábado-12</v>
      </c>
      <c r="L603">
        <f t="shared" si="38"/>
        <v>2023</v>
      </c>
      <c r="M603" t="str">
        <f t="shared" si="39"/>
        <v>T4-2023</v>
      </c>
    </row>
    <row r="604" spans="1:13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 t="str">
        <f t="shared" si="36"/>
        <v>60+</v>
      </c>
      <c r="K604" t="str">
        <f t="shared" si="37"/>
        <v>domingo-07</v>
      </c>
      <c r="L604">
        <f t="shared" si="38"/>
        <v>2023</v>
      </c>
      <c r="M604" t="str">
        <f t="shared" si="39"/>
        <v>T3-2023</v>
      </c>
    </row>
    <row r="605" spans="1:13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 t="str">
        <f t="shared" si="36"/>
        <v>60+</v>
      </c>
      <c r="K605" t="str">
        <f t="shared" si="37"/>
        <v>lunes-09</v>
      </c>
      <c r="L605">
        <f t="shared" si="38"/>
        <v>2023</v>
      </c>
      <c r="M605" t="str">
        <f t="shared" si="39"/>
        <v>T3-2023</v>
      </c>
    </row>
    <row r="606" spans="1:13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 t="str">
        <f t="shared" si="36"/>
        <v>60+</v>
      </c>
      <c r="K606" t="str">
        <f t="shared" si="37"/>
        <v>lunes-07</v>
      </c>
      <c r="L606">
        <f t="shared" si="38"/>
        <v>2023</v>
      </c>
      <c r="M606" t="str">
        <f t="shared" si="39"/>
        <v>T3-2023</v>
      </c>
    </row>
    <row r="607" spans="1:13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 t="str">
        <f t="shared" si="36"/>
        <v>60+</v>
      </c>
      <c r="K607" t="str">
        <f t="shared" si="37"/>
        <v>viernes-05</v>
      </c>
      <c r="L607">
        <f t="shared" si="38"/>
        <v>2023</v>
      </c>
      <c r="M607" t="str">
        <f t="shared" si="39"/>
        <v>T2-2023</v>
      </c>
    </row>
    <row r="608" spans="1:13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 t="str">
        <f t="shared" si="36"/>
        <v>60+</v>
      </c>
      <c r="K608" t="str">
        <f t="shared" si="37"/>
        <v>viernes-03</v>
      </c>
      <c r="L608">
        <f t="shared" si="38"/>
        <v>2023</v>
      </c>
      <c r="M608" t="str">
        <f t="shared" si="39"/>
        <v>T1-2023</v>
      </c>
    </row>
    <row r="609" spans="1:13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 t="str">
        <f t="shared" si="36"/>
        <v>60+</v>
      </c>
      <c r="K609" t="str">
        <f t="shared" si="37"/>
        <v>sábado-12</v>
      </c>
      <c r="L609">
        <f t="shared" si="38"/>
        <v>2023</v>
      </c>
      <c r="M609" t="str">
        <f t="shared" si="39"/>
        <v>T4-2023</v>
      </c>
    </row>
    <row r="610" spans="1:13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 t="str">
        <f t="shared" si="36"/>
        <v>60+</v>
      </c>
      <c r="K610" t="str">
        <f t="shared" si="37"/>
        <v>martes-12</v>
      </c>
      <c r="L610">
        <f t="shared" si="38"/>
        <v>2023</v>
      </c>
      <c r="M610" t="str">
        <f t="shared" si="39"/>
        <v>T4-2023</v>
      </c>
    </row>
    <row r="611" spans="1:13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 t="str">
        <f t="shared" si="36"/>
        <v>60+</v>
      </c>
      <c r="K611" t="str">
        <f t="shared" si="37"/>
        <v>martes-01</v>
      </c>
      <c r="L611">
        <f t="shared" si="38"/>
        <v>2023</v>
      </c>
      <c r="M611" t="str">
        <f t="shared" si="39"/>
        <v>T1-2023</v>
      </c>
    </row>
    <row r="612" spans="1:13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 t="str">
        <f t="shared" si="36"/>
        <v>60+</v>
      </c>
      <c r="K612" t="str">
        <f t="shared" si="37"/>
        <v>viernes-02</v>
      </c>
      <c r="L612">
        <f t="shared" si="38"/>
        <v>2023</v>
      </c>
      <c r="M612" t="str">
        <f t="shared" si="39"/>
        <v>T1-2023</v>
      </c>
    </row>
    <row r="613" spans="1:13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 t="str">
        <f t="shared" si="36"/>
        <v>60+</v>
      </c>
      <c r="K613" t="str">
        <f t="shared" si="37"/>
        <v>domingo-08</v>
      </c>
      <c r="L613">
        <f t="shared" si="38"/>
        <v>2023</v>
      </c>
      <c r="M613" t="str">
        <f t="shared" si="39"/>
        <v>T3-2023</v>
      </c>
    </row>
    <row r="614" spans="1:13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 t="str">
        <f t="shared" si="36"/>
        <v>60+</v>
      </c>
      <c r="K614" t="str">
        <f t="shared" si="37"/>
        <v>domingo-04</v>
      </c>
      <c r="L614">
        <f t="shared" si="38"/>
        <v>2023</v>
      </c>
      <c r="M614" t="str">
        <f t="shared" si="39"/>
        <v>T2-2023</v>
      </c>
    </row>
    <row r="615" spans="1:13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 t="str">
        <f t="shared" si="36"/>
        <v>60+</v>
      </c>
      <c r="K615" t="str">
        <f t="shared" si="37"/>
        <v>sábado-04</v>
      </c>
      <c r="L615">
        <f t="shared" si="38"/>
        <v>2023</v>
      </c>
      <c r="M615" t="str">
        <f t="shared" si="39"/>
        <v>T2-2023</v>
      </c>
    </row>
    <row r="616" spans="1:13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 t="str">
        <f t="shared" si="36"/>
        <v>60+</v>
      </c>
      <c r="K616" t="str">
        <f t="shared" si="37"/>
        <v>sábado-12</v>
      </c>
      <c r="L616">
        <f t="shared" si="38"/>
        <v>2023</v>
      </c>
      <c r="M616" t="str">
        <f t="shared" si="39"/>
        <v>T4-2023</v>
      </c>
    </row>
    <row r="617" spans="1:13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 t="str">
        <f t="shared" si="36"/>
        <v>60+</v>
      </c>
      <c r="K617" t="str">
        <f t="shared" si="37"/>
        <v>sábado-09</v>
      </c>
      <c r="L617">
        <f t="shared" si="38"/>
        <v>2023</v>
      </c>
      <c r="M617" t="str">
        <f t="shared" si="39"/>
        <v>T3-2023</v>
      </c>
    </row>
    <row r="618" spans="1:13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 t="str">
        <f t="shared" si="36"/>
        <v>60+</v>
      </c>
      <c r="K618" t="str">
        <f t="shared" si="37"/>
        <v>sábado-08</v>
      </c>
      <c r="L618">
        <f t="shared" si="38"/>
        <v>2023</v>
      </c>
      <c r="M618" t="str">
        <f t="shared" si="39"/>
        <v>T3-2023</v>
      </c>
    </row>
    <row r="619" spans="1:13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 t="str">
        <f t="shared" si="36"/>
        <v>60+</v>
      </c>
      <c r="K619" t="str">
        <f t="shared" si="37"/>
        <v>jueves-01</v>
      </c>
      <c r="L619">
        <f t="shared" si="38"/>
        <v>2023</v>
      </c>
      <c r="M619" t="str">
        <f t="shared" si="39"/>
        <v>T1-2023</v>
      </c>
    </row>
    <row r="620" spans="1:13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 t="str">
        <f t="shared" si="36"/>
        <v>60+</v>
      </c>
      <c r="K620" t="str">
        <f t="shared" si="37"/>
        <v>viernes-10</v>
      </c>
      <c r="L620">
        <f t="shared" si="38"/>
        <v>2023</v>
      </c>
      <c r="M620" t="str">
        <f t="shared" si="39"/>
        <v>T4-2023</v>
      </c>
    </row>
    <row r="621" spans="1:13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 t="str">
        <f t="shared" si="36"/>
        <v>60+</v>
      </c>
      <c r="K621" t="str">
        <f t="shared" si="37"/>
        <v>lunes-05</v>
      </c>
      <c r="L621">
        <f t="shared" si="38"/>
        <v>2023</v>
      </c>
      <c r="M621" t="str">
        <f t="shared" si="39"/>
        <v>T2-2023</v>
      </c>
    </row>
    <row r="622" spans="1:13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 t="str">
        <f t="shared" si="36"/>
        <v>60+</v>
      </c>
      <c r="K622" t="str">
        <f t="shared" si="37"/>
        <v>sábado-03</v>
      </c>
      <c r="L622">
        <f t="shared" si="38"/>
        <v>2023</v>
      </c>
      <c r="M622" t="str">
        <f t="shared" si="39"/>
        <v>T1-2023</v>
      </c>
    </row>
    <row r="623" spans="1:13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 t="str">
        <f t="shared" si="36"/>
        <v>60+</v>
      </c>
      <c r="K623" t="str">
        <f t="shared" si="37"/>
        <v>martes-08</v>
      </c>
      <c r="L623">
        <f t="shared" si="38"/>
        <v>2023</v>
      </c>
      <c r="M623" t="str">
        <f t="shared" si="39"/>
        <v>T3-2023</v>
      </c>
    </row>
    <row r="624" spans="1:13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 t="str">
        <f t="shared" si="36"/>
        <v>60+</v>
      </c>
      <c r="K624" t="str">
        <f t="shared" si="37"/>
        <v>viernes-03</v>
      </c>
      <c r="L624">
        <f t="shared" si="38"/>
        <v>2023</v>
      </c>
      <c r="M624" t="str">
        <f t="shared" si="39"/>
        <v>T1-2023</v>
      </c>
    </row>
    <row r="625" spans="1:13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 t="str">
        <f t="shared" si="36"/>
        <v>60+</v>
      </c>
      <c r="K625" t="str">
        <f t="shared" si="37"/>
        <v>sábado-08</v>
      </c>
      <c r="L625">
        <f t="shared" si="38"/>
        <v>2023</v>
      </c>
      <c r="M625" t="str">
        <f t="shared" si="39"/>
        <v>T3-2023</v>
      </c>
    </row>
    <row r="626" spans="1:13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 t="str">
        <f t="shared" si="36"/>
        <v>60+</v>
      </c>
      <c r="K626" t="str">
        <f t="shared" si="37"/>
        <v>viernes-12</v>
      </c>
      <c r="L626">
        <f t="shared" si="38"/>
        <v>2023</v>
      </c>
      <c r="M626" t="str">
        <f t="shared" si="39"/>
        <v>T4-2023</v>
      </c>
    </row>
    <row r="627" spans="1:13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 t="str">
        <f t="shared" si="36"/>
        <v>60+</v>
      </c>
      <c r="K627" t="str">
        <f t="shared" si="37"/>
        <v>viernes-09</v>
      </c>
      <c r="L627">
        <f t="shared" si="38"/>
        <v>2023</v>
      </c>
      <c r="M627" t="str">
        <f t="shared" si="39"/>
        <v>T3-2023</v>
      </c>
    </row>
    <row r="628" spans="1:13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 t="str">
        <f t="shared" si="36"/>
        <v>60+</v>
      </c>
      <c r="K628" t="str">
        <f t="shared" si="37"/>
        <v>sábado-10</v>
      </c>
      <c r="L628">
        <f t="shared" si="38"/>
        <v>2023</v>
      </c>
      <c r="M628" t="str">
        <f t="shared" si="39"/>
        <v>T4-2023</v>
      </c>
    </row>
    <row r="629" spans="1:13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 t="str">
        <f t="shared" si="36"/>
        <v>60+</v>
      </c>
      <c r="K629" t="str">
        <f t="shared" si="37"/>
        <v>miércoles-11</v>
      </c>
      <c r="L629">
        <f t="shared" si="38"/>
        <v>2023</v>
      </c>
      <c r="M629" t="str">
        <f t="shared" si="39"/>
        <v>T4-2023</v>
      </c>
    </row>
    <row r="630" spans="1:13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 t="str">
        <f t="shared" si="36"/>
        <v>60+</v>
      </c>
      <c r="K630" t="str">
        <f t="shared" si="37"/>
        <v>lunes-06</v>
      </c>
      <c r="L630">
        <f t="shared" si="38"/>
        <v>2023</v>
      </c>
      <c r="M630" t="str">
        <f t="shared" si="39"/>
        <v>T2-2023</v>
      </c>
    </row>
    <row r="631" spans="1:13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 t="str">
        <f t="shared" si="36"/>
        <v>60+</v>
      </c>
      <c r="K631" t="str">
        <f t="shared" si="37"/>
        <v>martes-08</v>
      </c>
      <c r="L631">
        <f t="shared" si="38"/>
        <v>2023</v>
      </c>
      <c r="M631" t="str">
        <f t="shared" si="39"/>
        <v>T3-2023</v>
      </c>
    </row>
    <row r="632" spans="1:13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 t="str">
        <f t="shared" si="36"/>
        <v>60+</v>
      </c>
      <c r="K632" t="str">
        <f t="shared" si="37"/>
        <v>viernes-11</v>
      </c>
      <c r="L632">
        <f t="shared" si="38"/>
        <v>2023</v>
      </c>
      <c r="M632" t="str">
        <f t="shared" si="39"/>
        <v>T4-2023</v>
      </c>
    </row>
    <row r="633" spans="1:13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 t="str">
        <f t="shared" si="36"/>
        <v>60+</v>
      </c>
      <c r="K633" t="str">
        <f t="shared" si="37"/>
        <v>sábado-09</v>
      </c>
      <c r="L633">
        <f t="shared" si="38"/>
        <v>2023</v>
      </c>
      <c r="M633" t="str">
        <f t="shared" si="39"/>
        <v>T3-2023</v>
      </c>
    </row>
    <row r="634" spans="1:13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 t="str">
        <f t="shared" si="36"/>
        <v>60+</v>
      </c>
      <c r="K634" t="str">
        <f t="shared" si="37"/>
        <v>lunes-08</v>
      </c>
      <c r="L634">
        <f t="shared" si="38"/>
        <v>2023</v>
      </c>
      <c r="M634" t="str">
        <f t="shared" si="39"/>
        <v>T3-2023</v>
      </c>
    </row>
    <row r="635" spans="1:13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 t="str">
        <f t="shared" si="36"/>
        <v>60+</v>
      </c>
      <c r="K635" t="str">
        <f t="shared" si="37"/>
        <v>domingo-10</v>
      </c>
      <c r="L635">
        <f t="shared" si="38"/>
        <v>2023</v>
      </c>
      <c r="M635" t="str">
        <f t="shared" si="39"/>
        <v>T4-2023</v>
      </c>
    </row>
    <row r="636" spans="1:13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 t="str">
        <f t="shared" si="36"/>
        <v>60+</v>
      </c>
      <c r="K636" t="str">
        <f t="shared" si="37"/>
        <v>jueves-08</v>
      </c>
      <c r="L636">
        <f t="shared" si="38"/>
        <v>2023</v>
      </c>
      <c r="M636" t="str">
        <f t="shared" si="39"/>
        <v>T3-2023</v>
      </c>
    </row>
    <row r="637" spans="1:13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 t="str">
        <f t="shared" si="36"/>
        <v>60+</v>
      </c>
      <c r="K637" t="str">
        <f t="shared" si="37"/>
        <v>jueves-03</v>
      </c>
      <c r="L637">
        <f t="shared" si="38"/>
        <v>2023</v>
      </c>
      <c r="M637" t="str">
        <f t="shared" si="39"/>
        <v>T1-2023</v>
      </c>
    </row>
    <row r="638" spans="1:13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 t="str">
        <f t="shared" si="36"/>
        <v>60+</v>
      </c>
      <c r="K638" t="str">
        <f t="shared" si="37"/>
        <v>viernes-09</v>
      </c>
      <c r="L638">
        <f t="shared" si="38"/>
        <v>2023</v>
      </c>
      <c r="M638" t="str">
        <f t="shared" si="39"/>
        <v>T3-2023</v>
      </c>
    </row>
    <row r="639" spans="1:13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 t="str">
        <f t="shared" si="36"/>
        <v>60+</v>
      </c>
      <c r="K639" t="str">
        <f t="shared" si="37"/>
        <v>sábado-08</v>
      </c>
      <c r="L639">
        <f t="shared" si="38"/>
        <v>2023</v>
      </c>
      <c r="M639" t="str">
        <f t="shared" si="39"/>
        <v>T3-2023</v>
      </c>
    </row>
    <row r="640" spans="1:13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 t="str">
        <f t="shared" si="36"/>
        <v>60+</v>
      </c>
      <c r="K640" t="str">
        <f t="shared" si="37"/>
        <v>sábado-05</v>
      </c>
      <c r="L640">
        <f t="shared" si="38"/>
        <v>2023</v>
      </c>
      <c r="M640" t="str">
        <f t="shared" si="39"/>
        <v>T2-2023</v>
      </c>
    </row>
    <row r="641" spans="1:13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 t="str">
        <f t="shared" si="36"/>
        <v>60+</v>
      </c>
      <c r="K641" t="str">
        <f t="shared" si="37"/>
        <v>domingo-05</v>
      </c>
      <c r="L641">
        <f t="shared" si="38"/>
        <v>2023</v>
      </c>
      <c r="M641" t="str">
        <f t="shared" si="39"/>
        <v>T2-2023</v>
      </c>
    </row>
    <row r="642" spans="1:13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 t="str">
        <f t="shared" si="36"/>
        <v>60+</v>
      </c>
      <c r="K642" t="str">
        <f t="shared" si="37"/>
        <v>jueves-11</v>
      </c>
      <c r="L642">
        <f t="shared" si="38"/>
        <v>2023</v>
      </c>
      <c r="M642" t="str">
        <f t="shared" si="39"/>
        <v>T4-2023</v>
      </c>
    </row>
    <row r="643" spans="1:13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 t="str">
        <f t="shared" ref="J643:J706" si="40">IF(D643&lt;30,"18-29",IF(D643&lt;45,"30-44",IF(D643&lt;60,"45-59","60+")))</f>
        <v>60+</v>
      </c>
      <c r="K643" t="str">
        <f t="shared" ref="K643:K706" si="41">TEXT(B643,"AAAA-MM")</f>
        <v>lunes-05</v>
      </c>
      <c r="L643">
        <f t="shared" ref="L643:L706" si="42">YEAR(B643)</f>
        <v>2023</v>
      </c>
      <c r="M643" t="str">
        <f t="shared" ref="M643:M706" si="43">"T"&amp;INT((MONTH(B643)-1)/3+1)&amp;"-"&amp;YEAR(B643)</f>
        <v>T2-2023</v>
      </c>
    </row>
    <row r="644" spans="1:13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 t="str">
        <f t="shared" si="40"/>
        <v>60+</v>
      </c>
      <c r="K644" t="str">
        <f t="shared" si="41"/>
        <v>domingo-09</v>
      </c>
      <c r="L644">
        <f t="shared" si="42"/>
        <v>2023</v>
      </c>
      <c r="M644" t="str">
        <f t="shared" si="43"/>
        <v>T3-2023</v>
      </c>
    </row>
    <row r="645" spans="1:13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 t="str">
        <f t="shared" si="40"/>
        <v>60+</v>
      </c>
      <c r="K645" t="str">
        <f t="shared" si="41"/>
        <v>miércoles-09</v>
      </c>
      <c r="L645">
        <f t="shared" si="42"/>
        <v>2023</v>
      </c>
      <c r="M645" t="str">
        <f t="shared" si="43"/>
        <v>T3-2023</v>
      </c>
    </row>
    <row r="646" spans="1:13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 t="str">
        <f t="shared" si="40"/>
        <v>60+</v>
      </c>
      <c r="K646" t="str">
        <f t="shared" si="41"/>
        <v>viernes-11</v>
      </c>
      <c r="L646">
        <f t="shared" si="42"/>
        <v>2023</v>
      </c>
      <c r="M646" t="str">
        <f t="shared" si="43"/>
        <v>T4-2023</v>
      </c>
    </row>
    <row r="647" spans="1:13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 t="str">
        <f t="shared" si="40"/>
        <v>60+</v>
      </c>
      <c r="K647" t="str">
        <f t="shared" si="41"/>
        <v>miércoles-05</v>
      </c>
      <c r="L647">
        <f t="shared" si="42"/>
        <v>2023</v>
      </c>
      <c r="M647" t="str">
        <f t="shared" si="43"/>
        <v>T2-2023</v>
      </c>
    </row>
    <row r="648" spans="1:13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 t="str">
        <f t="shared" si="40"/>
        <v>60+</v>
      </c>
      <c r="K648" t="str">
        <f t="shared" si="41"/>
        <v>domingo-05</v>
      </c>
      <c r="L648">
        <f t="shared" si="42"/>
        <v>2023</v>
      </c>
      <c r="M648" t="str">
        <f t="shared" si="43"/>
        <v>T2-2023</v>
      </c>
    </row>
    <row r="649" spans="1:13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 t="str">
        <f t="shared" si="40"/>
        <v>60+</v>
      </c>
      <c r="K649" t="str">
        <f t="shared" si="41"/>
        <v>lunes-08</v>
      </c>
      <c r="L649">
        <f t="shared" si="42"/>
        <v>2023</v>
      </c>
      <c r="M649" t="str">
        <f t="shared" si="43"/>
        <v>T3-2023</v>
      </c>
    </row>
    <row r="650" spans="1:13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 t="str">
        <f t="shared" si="40"/>
        <v>60+</v>
      </c>
      <c r="K650" t="str">
        <f t="shared" si="41"/>
        <v>jueves-02</v>
      </c>
      <c r="L650">
        <f t="shared" si="42"/>
        <v>2023</v>
      </c>
      <c r="M650" t="str">
        <f t="shared" si="43"/>
        <v>T1-2023</v>
      </c>
    </row>
    <row r="651" spans="1:13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 t="str">
        <f t="shared" si="40"/>
        <v>60+</v>
      </c>
      <c r="K651" t="str">
        <f t="shared" si="41"/>
        <v>lunes-01</v>
      </c>
      <c r="L651">
        <f t="shared" si="42"/>
        <v>2024</v>
      </c>
      <c r="M651" t="str">
        <f t="shared" si="43"/>
        <v>T1-2024</v>
      </c>
    </row>
    <row r="652" spans="1:13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 t="str">
        <f t="shared" si="40"/>
        <v>60+</v>
      </c>
      <c r="K652" t="str">
        <f t="shared" si="41"/>
        <v>sábado-05</v>
      </c>
      <c r="L652">
        <f t="shared" si="42"/>
        <v>2023</v>
      </c>
      <c r="M652" t="str">
        <f t="shared" si="43"/>
        <v>T2-2023</v>
      </c>
    </row>
    <row r="653" spans="1:13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 t="str">
        <f t="shared" si="40"/>
        <v>60+</v>
      </c>
      <c r="K653" t="str">
        <f t="shared" si="41"/>
        <v>lunes-05</v>
      </c>
      <c r="L653">
        <f t="shared" si="42"/>
        <v>2023</v>
      </c>
      <c r="M653" t="str">
        <f t="shared" si="43"/>
        <v>T2-2023</v>
      </c>
    </row>
    <row r="654" spans="1:13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 t="str">
        <f t="shared" si="40"/>
        <v>60+</v>
      </c>
      <c r="K654" t="str">
        <f t="shared" si="41"/>
        <v>sábado-05</v>
      </c>
      <c r="L654">
        <f t="shared" si="42"/>
        <v>2023</v>
      </c>
      <c r="M654" t="str">
        <f t="shared" si="43"/>
        <v>T2-2023</v>
      </c>
    </row>
    <row r="655" spans="1:13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 t="str">
        <f t="shared" si="40"/>
        <v>60+</v>
      </c>
      <c r="K655" t="str">
        <f t="shared" si="41"/>
        <v>miércoles-06</v>
      </c>
      <c r="L655">
        <f t="shared" si="42"/>
        <v>2023</v>
      </c>
      <c r="M655" t="str">
        <f t="shared" si="43"/>
        <v>T2-2023</v>
      </c>
    </row>
    <row r="656" spans="1:13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 t="str">
        <f t="shared" si="40"/>
        <v>60+</v>
      </c>
      <c r="K656" t="str">
        <f t="shared" si="41"/>
        <v>martes-06</v>
      </c>
      <c r="L656">
        <f t="shared" si="42"/>
        <v>2023</v>
      </c>
      <c r="M656" t="str">
        <f t="shared" si="43"/>
        <v>T2-2023</v>
      </c>
    </row>
    <row r="657" spans="1:13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 t="str">
        <f t="shared" si="40"/>
        <v>60+</v>
      </c>
      <c r="K657" t="str">
        <f t="shared" si="41"/>
        <v>miércoles-10</v>
      </c>
      <c r="L657">
        <f t="shared" si="42"/>
        <v>2023</v>
      </c>
      <c r="M657" t="str">
        <f t="shared" si="43"/>
        <v>T4-2023</v>
      </c>
    </row>
    <row r="658" spans="1:13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 t="str">
        <f t="shared" si="40"/>
        <v>60+</v>
      </c>
      <c r="K658" t="str">
        <f t="shared" si="41"/>
        <v>sábado-02</v>
      </c>
      <c r="L658">
        <f t="shared" si="42"/>
        <v>2023</v>
      </c>
      <c r="M658" t="str">
        <f t="shared" si="43"/>
        <v>T1-2023</v>
      </c>
    </row>
    <row r="659" spans="1:13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 t="str">
        <f t="shared" si="40"/>
        <v>60+</v>
      </c>
      <c r="K659" t="str">
        <f t="shared" si="41"/>
        <v>domingo-03</v>
      </c>
      <c r="L659">
        <f t="shared" si="42"/>
        <v>2023</v>
      </c>
      <c r="M659" t="str">
        <f t="shared" si="43"/>
        <v>T1-2023</v>
      </c>
    </row>
    <row r="660" spans="1:13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 t="str">
        <f t="shared" si="40"/>
        <v>60+</v>
      </c>
      <c r="K660" t="str">
        <f t="shared" si="41"/>
        <v>domingo-03</v>
      </c>
      <c r="L660">
        <f t="shared" si="42"/>
        <v>2023</v>
      </c>
      <c r="M660" t="str">
        <f t="shared" si="43"/>
        <v>T1-2023</v>
      </c>
    </row>
    <row r="661" spans="1:13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 t="str">
        <f t="shared" si="40"/>
        <v>60+</v>
      </c>
      <c r="K661" t="str">
        <f t="shared" si="41"/>
        <v>sábado-04</v>
      </c>
      <c r="L661">
        <f t="shared" si="42"/>
        <v>2023</v>
      </c>
      <c r="M661" t="str">
        <f t="shared" si="43"/>
        <v>T2-2023</v>
      </c>
    </row>
    <row r="662" spans="1:13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 t="str">
        <f t="shared" si="40"/>
        <v>60+</v>
      </c>
      <c r="K662" t="str">
        <f t="shared" si="41"/>
        <v>domingo-07</v>
      </c>
      <c r="L662">
        <f t="shared" si="42"/>
        <v>2023</v>
      </c>
      <c r="M662" t="str">
        <f t="shared" si="43"/>
        <v>T3-2023</v>
      </c>
    </row>
    <row r="663" spans="1:13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 t="str">
        <f t="shared" si="40"/>
        <v>60+</v>
      </c>
      <c r="K663" t="str">
        <f t="shared" si="41"/>
        <v>viernes-12</v>
      </c>
      <c r="L663">
        <f t="shared" si="42"/>
        <v>2023</v>
      </c>
      <c r="M663" t="str">
        <f t="shared" si="43"/>
        <v>T4-2023</v>
      </c>
    </row>
    <row r="664" spans="1:13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 t="str">
        <f t="shared" si="40"/>
        <v>60+</v>
      </c>
      <c r="K664" t="str">
        <f t="shared" si="41"/>
        <v>lunes-03</v>
      </c>
      <c r="L664">
        <f t="shared" si="42"/>
        <v>2023</v>
      </c>
      <c r="M664" t="str">
        <f t="shared" si="43"/>
        <v>T1-2023</v>
      </c>
    </row>
    <row r="665" spans="1:13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 t="str">
        <f t="shared" si="40"/>
        <v>60+</v>
      </c>
      <c r="K665" t="str">
        <f t="shared" si="41"/>
        <v>jueves-12</v>
      </c>
      <c r="L665">
        <f t="shared" si="42"/>
        <v>2023</v>
      </c>
      <c r="M665" t="str">
        <f t="shared" si="43"/>
        <v>T4-2023</v>
      </c>
    </row>
    <row r="666" spans="1:13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 t="str">
        <f t="shared" si="40"/>
        <v>60+</v>
      </c>
      <c r="K666" t="str">
        <f t="shared" si="41"/>
        <v>jueves-04</v>
      </c>
      <c r="L666">
        <f t="shared" si="42"/>
        <v>2023</v>
      </c>
      <c r="M666" t="str">
        <f t="shared" si="43"/>
        <v>T2-2023</v>
      </c>
    </row>
    <row r="667" spans="1:13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 t="str">
        <f t="shared" si="40"/>
        <v>60+</v>
      </c>
      <c r="K667" t="str">
        <f t="shared" si="41"/>
        <v>jueves-02</v>
      </c>
      <c r="L667">
        <f t="shared" si="42"/>
        <v>2023</v>
      </c>
      <c r="M667" t="str">
        <f t="shared" si="43"/>
        <v>T1-2023</v>
      </c>
    </row>
    <row r="668" spans="1:13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 t="str">
        <f t="shared" si="40"/>
        <v>60+</v>
      </c>
      <c r="K668" t="str">
        <f t="shared" si="41"/>
        <v>martes-08</v>
      </c>
      <c r="L668">
        <f t="shared" si="42"/>
        <v>2023</v>
      </c>
      <c r="M668" t="str">
        <f t="shared" si="43"/>
        <v>T3-2023</v>
      </c>
    </row>
    <row r="669" spans="1:13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 t="str">
        <f t="shared" si="40"/>
        <v>60+</v>
      </c>
      <c r="K669" t="str">
        <f t="shared" si="41"/>
        <v>viernes-07</v>
      </c>
      <c r="L669">
        <f t="shared" si="42"/>
        <v>2023</v>
      </c>
      <c r="M669" t="str">
        <f t="shared" si="43"/>
        <v>T3-2023</v>
      </c>
    </row>
    <row r="670" spans="1:13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 t="str">
        <f t="shared" si="40"/>
        <v>60+</v>
      </c>
      <c r="K670" t="str">
        <f t="shared" si="41"/>
        <v>lunes-06</v>
      </c>
      <c r="L670">
        <f t="shared" si="42"/>
        <v>2023</v>
      </c>
      <c r="M670" t="str">
        <f t="shared" si="43"/>
        <v>T2-2023</v>
      </c>
    </row>
    <row r="671" spans="1:13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 t="str">
        <f t="shared" si="40"/>
        <v>60+</v>
      </c>
      <c r="K671" t="str">
        <f t="shared" si="41"/>
        <v>jueves-10</v>
      </c>
      <c r="L671">
        <f t="shared" si="42"/>
        <v>2023</v>
      </c>
      <c r="M671" t="str">
        <f t="shared" si="43"/>
        <v>T4-2023</v>
      </c>
    </row>
    <row r="672" spans="1:13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 t="str">
        <f t="shared" si="40"/>
        <v>60+</v>
      </c>
      <c r="K672" t="str">
        <f t="shared" si="41"/>
        <v>domingo-08</v>
      </c>
      <c r="L672">
        <f t="shared" si="42"/>
        <v>2023</v>
      </c>
      <c r="M672" t="str">
        <f t="shared" si="43"/>
        <v>T3-2023</v>
      </c>
    </row>
    <row r="673" spans="1:13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 t="str">
        <f t="shared" si="40"/>
        <v>60+</v>
      </c>
      <c r="K673" t="str">
        <f t="shared" si="41"/>
        <v>martes-08</v>
      </c>
      <c r="L673">
        <f t="shared" si="42"/>
        <v>2023</v>
      </c>
      <c r="M673" t="str">
        <f t="shared" si="43"/>
        <v>T3-2023</v>
      </c>
    </row>
    <row r="674" spans="1:13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 t="str">
        <f t="shared" si="40"/>
        <v>60+</v>
      </c>
      <c r="K674" t="str">
        <f t="shared" si="41"/>
        <v>miércoles-02</v>
      </c>
      <c r="L674">
        <f t="shared" si="42"/>
        <v>2023</v>
      </c>
      <c r="M674" t="str">
        <f t="shared" si="43"/>
        <v>T1-2023</v>
      </c>
    </row>
    <row r="675" spans="1:13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 t="str">
        <f t="shared" si="40"/>
        <v>60+</v>
      </c>
      <c r="K675" t="str">
        <f t="shared" si="41"/>
        <v>domingo-04</v>
      </c>
      <c r="L675">
        <f t="shared" si="42"/>
        <v>2023</v>
      </c>
      <c r="M675" t="str">
        <f t="shared" si="43"/>
        <v>T2-2023</v>
      </c>
    </row>
    <row r="676" spans="1:13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 t="str">
        <f t="shared" si="40"/>
        <v>60+</v>
      </c>
      <c r="K676" t="str">
        <f t="shared" si="41"/>
        <v>viernes-08</v>
      </c>
      <c r="L676">
        <f t="shared" si="42"/>
        <v>2023</v>
      </c>
      <c r="M676" t="str">
        <f t="shared" si="43"/>
        <v>T3-2023</v>
      </c>
    </row>
    <row r="677" spans="1:13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 t="str">
        <f t="shared" si="40"/>
        <v>60+</v>
      </c>
      <c r="K677" t="str">
        <f t="shared" si="41"/>
        <v>miércoles-07</v>
      </c>
      <c r="L677">
        <f t="shared" si="42"/>
        <v>2023</v>
      </c>
      <c r="M677" t="str">
        <f t="shared" si="43"/>
        <v>T3-2023</v>
      </c>
    </row>
    <row r="678" spans="1:13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 t="str">
        <f t="shared" si="40"/>
        <v>60+</v>
      </c>
      <c r="K678" t="str">
        <f t="shared" si="41"/>
        <v>viernes-10</v>
      </c>
      <c r="L678">
        <f t="shared" si="42"/>
        <v>2023</v>
      </c>
      <c r="M678" t="str">
        <f t="shared" si="43"/>
        <v>T4-2023</v>
      </c>
    </row>
    <row r="679" spans="1:13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 t="str">
        <f t="shared" si="40"/>
        <v>60+</v>
      </c>
      <c r="K679" t="str">
        <f t="shared" si="41"/>
        <v>sábado-12</v>
      </c>
      <c r="L679">
        <f t="shared" si="42"/>
        <v>2023</v>
      </c>
      <c r="M679" t="str">
        <f t="shared" si="43"/>
        <v>T4-2023</v>
      </c>
    </row>
    <row r="680" spans="1:13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 t="str">
        <f t="shared" si="40"/>
        <v>60+</v>
      </c>
      <c r="K680" t="str">
        <f t="shared" si="41"/>
        <v>miércoles-01</v>
      </c>
      <c r="L680">
        <f t="shared" si="42"/>
        <v>2023</v>
      </c>
      <c r="M680" t="str">
        <f t="shared" si="43"/>
        <v>T1-2023</v>
      </c>
    </row>
    <row r="681" spans="1:13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 t="str">
        <f t="shared" si="40"/>
        <v>60+</v>
      </c>
      <c r="K681" t="str">
        <f t="shared" si="41"/>
        <v>domingo-10</v>
      </c>
      <c r="L681">
        <f t="shared" si="42"/>
        <v>2023</v>
      </c>
      <c r="M681" t="str">
        <f t="shared" si="43"/>
        <v>T4-2023</v>
      </c>
    </row>
    <row r="682" spans="1:13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 t="str">
        <f t="shared" si="40"/>
        <v>60+</v>
      </c>
      <c r="K682" t="str">
        <f t="shared" si="41"/>
        <v>viernes-07</v>
      </c>
      <c r="L682">
        <f t="shared" si="42"/>
        <v>2023</v>
      </c>
      <c r="M682" t="str">
        <f t="shared" si="43"/>
        <v>T3-2023</v>
      </c>
    </row>
    <row r="683" spans="1:13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 t="str">
        <f t="shared" si="40"/>
        <v>60+</v>
      </c>
      <c r="K683" t="str">
        <f t="shared" si="41"/>
        <v>sábado-09</v>
      </c>
      <c r="L683">
        <f t="shared" si="42"/>
        <v>2023</v>
      </c>
      <c r="M683" t="str">
        <f t="shared" si="43"/>
        <v>T3-2023</v>
      </c>
    </row>
    <row r="684" spans="1:13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 t="str">
        <f t="shared" si="40"/>
        <v>60+</v>
      </c>
      <c r="K684" t="str">
        <f t="shared" si="41"/>
        <v>miércoles-01</v>
      </c>
      <c r="L684">
        <f t="shared" si="42"/>
        <v>2023</v>
      </c>
      <c r="M684" t="str">
        <f t="shared" si="43"/>
        <v>T1-2023</v>
      </c>
    </row>
    <row r="685" spans="1:13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 t="str">
        <f t="shared" si="40"/>
        <v>60+</v>
      </c>
      <c r="K685" t="str">
        <f t="shared" si="41"/>
        <v>viernes-06</v>
      </c>
      <c r="L685">
        <f t="shared" si="42"/>
        <v>2023</v>
      </c>
      <c r="M685" t="str">
        <f t="shared" si="43"/>
        <v>T2-2023</v>
      </c>
    </row>
    <row r="686" spans="1:13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 t="str">
        <f t="shared" si="40"/>
        <v>60+</v>
      </c>
      <c r="K686" t="str">
        <f t="shared" si="41"/>
        <v>viernes-06</v>
      </c>
      <c r="L686">
        <f t="shared" si="42"/>
        <v>2023</v>
      </c>
      <c r="M686" t="str">
        <f t="shared" si="43"/>
        <v>T2-2023</v>
      </c>
    </row>
    <row r="687" spans="1:13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 t="str">
        <f t="shared" si="40"/>
        <v>60+</v>
      </c>
      <c r="K687" t="str">
        <f t="shared" si="41"/>
        <v>miércoles-07</v>
      </c>
      <c r="L687">
        <f t="shared" si="42"/>
        <v>2023</v>
      </c>
      <c r="M687" t="str">
        <f t="shared" si="43"/>
        <v>T3-2023</v>
      </c>
    </row>
    <row r="688" spans="1:13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 t="str">
        <f t="shared" si="40"/>
        <v>60+</v>
      </c>
      <c r="K688" t="str">
        <f t="shared" si="41"/>
        <v>jueves-08</v>
      </c>
      <c r="L688">
        <f t="shared" si="42"/>
        <v>2023</v>
      </c>
      <c r="M688" t="str">
        <f t="shared" si="43"/>
        <v>T3-2023</v>
      </c>
    </row>
    <row r="689" spans="1:13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 t="str">
        <f t="shared" si="40"/>
        <v>60+</v>
      </c>
      <c r="K689" t="str">
        <f t="shared" si="41"/>
        <v>martes-10</v>
      </c>
      <c r="L689">
        <f t="shared" si="42"/>
        <v>2023</v>
      </c>
      <c r="M689" t="str">
        <f t="shared" si="43"/>
        <v>T4-2023</v>
      </c>
    </row>
    <row r="690" spans="1:13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 t="str">
        <f t="shared" si="40"/>
        <v>60+</v>
      </c>
      <c r="K690" t="str">
        <f t="shared" si="41"/>
        <v>sábado-10</v>
      </c>
      <c r="L690">
        <f t="shared" si="42"/>
        <v>2023</v>
      </c>
      <c r="M690" t="str">
        <f t="shared" si="43"/>
        <v>T4-2023</v>
      </c>
    </row>
    <row r="691" spans="1:13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 t="str">
        <f t="shared" si="40"/>
        <v>60+</v>
      </c>
      <c r="K691" t="str">
        <f t="shared" si="41"/>
        <v>domingo-11</v>
      </c>
      <c r="L691">
        <f t="shared" si="42"/>
        <v>2023</v>
      </c>
      <c r="M691" t="str">
        <f t="shared" si="43"/>
        <v>T4-2023</v>
      </c>
    </row>
    <row r="692" spans="1:13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 t="str">
        <f t="shared" si="40"/>
        <v>60+</v>
      </c>
      <c r="K692" t="str">
        <f t="shared" si="41"/>
        <v>domingo-04</v>
      </c>
      <c r="L692">
        <f t="shared" si="42"/>
        <v>2023</v>
      </c>
      <c r="M692" t="str">
        <f t="shared" si="43"/>
        <v>T2-2023</v>
      </c>
    </row>
    <row r="693" spans="1:13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 t="str">
        <f t="shared" si="40"/>
        <v>60+</v>
      </c>
      <c r="K693" t="str">
        <f t="shared" si="41"/>
        <v>jueves-09</v>
      </c>
      <c r="L693">
        <f t="shared" si="42"/>
        <v>2023</v>
      </c>
      <c r="M693" t="str">
        <f t="shared" si="43"/>
        <v>T3-2023</v>
      </c>
    </row>
    <row r="694" spans="1:13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 t="str">
        <f t="shared" si="40"/>
        <v>60+</v>
      </c>
      <c r="K694" t="str">
        <f t="shared" si="41"/>
        <v>domingo-04</v>
      </c>
      <c r="L694">
        <f t="shared" si="42"/>
        <v>2023</v>
      </c>
      <c r="M694" t="str">
        <f t="shared" si="43"/>
        <v>T2-2023</v>
      </c>
    </row>
    <row r="695" spans="1:13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 t="str">
        <f t="shared" si="40"/>
        <v>60+</v>
      </c>
      <c r="K695" t="str">
        <f t="shared" si="41"/>
        <v>sábado-05</v>
      </c>
      <c r="L695">
        <f t="shared" si="42"/>
        <v>2023</v>
      </c>
      <c r="M695" t="str">
        <f t="shared" si="43"/>
        <v>T2-2023</v>
      </c>
    </row>
    <row r="696" spans="1:13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 t="str">
        <f t="shared" si="40"/>
        <v>60+</v>
      </c>
      <c r="K696" t="str">
        <f t="shared" si="41"/>
        <v>sábado-08</v>
      </c>
      <c r="L696">
        <f t="shared" si="42"/>
        <v>2023</v>
      </c>
      <c r="M696" t="str">
        <f t="shared" si="43"/>
        <v>T3-2023</v>
      </c>
    </row>
    <row r="697" spans="1:13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 t="str">
        <f t="shared" si="40"/>
        <v>60+</v>
      </c>
      <c r="K697" t="str">
        <f t="shared" si="41"/>
        <v>miércoles-09</v>
      </c>
      <c r="L697">
        <f t="shared" si="42"/>
        <v>2023</v>
      </c>
      <c r="M697" t="str">
        <f t="shared" si="43"/>
        <v>T3-2023</v>
      </c>
    </row>
    <row r="698" spans="1:13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 t="str">
        <f t="shared" si="40"/>
        <v>60+</v>
      </c>
      <c r="K698" t="str">
        <f t="shared" si="41"/>
        <v>domingo-01</v>
      </c>
      <c r="L698">
        <f t="shared" si="42"/>
        <v>2023</v>
      </c>
      <c r="M698" t="str">
        <f t="shared" si="43"/>
        <v>T1-2023</v>
      </c>
    </row>
    <row r="699" spans="1:13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 t="str">
        <f t="shared" si="40"/>
        <v>60+</v>
      </c>
      <c r="K699" t="str">
        <f t="shared" si="41"/>
        <v>miércoles-07</v>
      </c>
      <c r="L699">
        <f t="shared" si="42"/>
        <v>2023</v>
      </c>
      <c r="M699" t="str">
        <f t="shared" si="43"/>
        <v>T3-2023</v>
      </c>
    </row>
    <row r="700" spans="1:13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 t="str">
        <f t="shared" si="40"/>
        <v>60+</v>
      </c>
      <c r="K700" t="str">
        <f t="shared" si="41"/>
        <v>jueves-06</v>
      </c>
      <c r="L700">
        <f t="shared" si="42"/>
        <v>2023</v>
      </c>
      <c r="M700" t="str">
        <f t="shared" si="43"/>
        <v>T2-2023</v>
      </c>
    </row>
    <row r="701" spans="1:13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 t="str">
        <f t="shared" si="40"/>
        <v>60+</v>
      </c>
      <c r="K701" t="str">
        <f t="shared" si="41"/>
        <v>sábado-12</v>
      </c>
      <c r="L701">
        <f t="shared" si="42"/>
        <v>2023</v>
      </c>
      <c r="M701" t="str">
        <f t="shared" si="43"/>
        <v>T4-2023</v>
      </c>
    </row>
    <row r="702" spans="1:13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 t="str">
        <f t="shared" si="40"/>
        <v>60+</v>
      </c>
      <c r="K702" t="str">
        <f t="shared" si="41"/>
        <v>jueves-12</v>
      </c>
      <c r="L702">
        <f t="shared" si="42"/>
        <v>2023</v>
      </c>
      <c r="M702" t="str">
        <f t="shared" si="43"/>
        <v>T4-2023</v>
      </c>
    </row>
    <row r="703" spans="1:13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 t="str">
        <f t="shared" si="40"/>
        <v>60+</v>
      </c>
      <c r="K703" t="str">
        <f t="shared" si="41"/>
        <v>jueves-07</v>
      </c>
      <c r="L703">
        <f t="shared" si="42"/>
        <v>2023</v>
      </c>
      <c r="M703" t="str">
        <f t="shared" si="43"/>
        <v>T3-2023</v>
      </c>
    </row>
    <row r="704" spans="1:13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 t="str">
        <f t="shared" si="40"/>
        <v>60+</v>
      </c>
      <c r="K704" t="str">
        <f t="shared" si="41"/>
        <v>domingo-03</v>
      </c>
      <c r="L704">
        <f t="shared" si="42"/>
        <v>2023</v>
      </c>
      <c r="M704" t="str">
        <f t="shared" si="43"/>
        <v>T1-2023</v>
      </c>
    </row>
    <row r="705" spans="1:13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 t="str">
        <f t="shared" si="40"/>
        <v>60+</v>
      </c>
      <c r="K705" t="str">
        <f t="shared" si="41"/>
        <v>lunes-08</v>
      </c>
      <c r="L705">
        <f t="shared" si="42"/>
        <v>2023</v>
      </c>
      <c r="M705" t="str">
        <f t="shared" si="43"/>
        <v>T3-2023</v>
      </c>
    </row>
    <row r="706" spans="1:13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 t="str">
        <f t="shared" si="40"/>
        <v>60+</v>
      </c>
      <c r="K706" t="str">
        <f t="shared" si="41"/>
        <v>martes-03</v>
      </c>
      <c r="L706">
        <f t="shared" si="42"/>
        <v>2023</v>
      </c>
      <c r="M706" t="str">
        <f t="shared" si="43"/>
        <v>T1-2023</v>
      </c>
    </row>
    <row r="707" spans="1:13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 t="str">
        <f t="shared" ref="J707:J770" si="44">IF(D707&lt;30,"18-29",IF(D707&lt;45,"30-44",IF(D707&lt;60,"45-59","60+")))</f>
        <v>60+</v>
      </c>
      <c r="K707" t="str">
        <f t="shared" ref="K707:K770" si="45">TEXT(B707,"AAAA-MM")</f>
        <v>miércoles-11</v>
      </c>
      <c r="L707">
        <f t="shared" ref="L707:L770" si="46">YEAR(B707)</f>
        <v>2023</v>
      </c>
      <c r="M707" t="str">
        <f t="shared" ref="M707:M770" si="47">"T"&amp;INT((MONTH(B707)-1)/3+1)&amp;"-"&amp;YEAR(B707)</f>
        <v>T4-2023</v>
      </c>
    </row>
    <row r="708" spans="1:13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 t="str">
        <f t="shared" si="44"/>
        <v>60+</v>
      </c>
      <c r="K708" t="str">
        <f t="shared" si="45"/>
        <v>domingo-10</v>
      </c>
      <c r="L708">
        <f t="shared" si="46"/>
        <v>2023</v>
      </c>
      <c r="M708" t="str">
        <f t="shared" si="47"/>
        <v>T4-2023</v>
      </c>
    </row>
    <row r="709" spans="1:13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 t="str">
        <f t="shared" si="44"/>
        <v>60+</v>
      </c>
      <c r="K709" t="str">
        <f t="shared" si="45"/>
        <v>sábado-01</v>
      </c>
      <c r="L709">
        <f t="shared" si="46"/>
        <v>2023</v>
      </c>
      <c r="M709" t="str">
        <f t="shared" si="47"/>
        <v>T1-2023</v>
      </c>
    </row>
    <row r="710" spans="1:13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 t="str">
        <f t="shared" si="44"/>
        <v>60+</v>
      </c>
      <c r="K710" t="str">
        <f t="shared" si="45"/>
        <v>viernes-07</v>
      </c>
      <c r="L710">
        <f t="shared" si="46"/>
        <v>2023</v>
      </c>
      <c r="M710" t="str">
        <f t="shared" si="47"/>
        <v>T3-2023</v>
      </c>
    </row>
    <row r="711" spans="1:13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 t="str">
        <f t="shared" si="44"/>
        <v>60+</v>
      </c>
      <c r="K711" t="str">
        <f t="shared" si="45"/>
        <v>martes-10</v>
      </c>
      <c r="L711">
        <f t="shared" si="46"/>
        <v>2023</v>
      </c>
      <c r="M711" t="str">
        <f t="shared" si="47"/>
        <v>T4-2023</v>
      </c>
    </row>
    <row r="712" spans="1:13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 t="str">
        <f t="shared" si="44"/>
        <v>60+</v>
      </c>
      <c r="K712" t="str">
        <f t="shared" si="45"/>
        <v>lunes-10</v>
      </c>
      <c r="L712">
        <f t="shared" si="46"/>
        <v>2023</v>
      </c>
      <c r="M712" t="str">
        <f t="shared" si="47"/>
        <v>T4-2023</v>
      </c>
    </row>
    <row r="713" spans="1:13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 t="str">
        <f t="shared" si="44"/>
        <v>60+</v>
      </c>
      <c r="K713" t="str">
        <f t="shared" si="45"/>
        <v>miércoles-12</v>
      </c>
      <c r="L713">
        <f t="shared" si="46"/>
        <v>2023</v>
      </c>
      <c r="M713" t="str">
        <f t="shared" si="47"/>
        <v>T4-2023</v>
      </c>
    </row>
    <row r="714" spans="1:13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 t="str">
        <f t="shared" si="44"/>
        <v>60+</v>
      </c>
      <c r="K714" t="str">
        <f t="shared" si="45"/>
        <v>sábado-01</v>
      </c>
      <c r="L714">
        <f t="shared" si="46"/>
        <v>2023</v>
      </c>
      <c r="M714" t="str">
        <f t="shared" si="47"/>
        <v>T1-2023</v>
      </c>
    </row>
    <row r="715" spans="1:13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 t="str">
        <f t="shared" si="44"/>
        <v>60+</v>
      </c>
      <c r="K715" t="str">
        <f t="shared" si="45"/>
        <v>domingo-02</v>
      </c>
      <c r="L715">
        <f t="shared" si="46"/>
        <v>2023</v>
      </c>
      <c r="M715" t="str">
        <f t="shared" si="47"/>
        <v>T1-2023</v>
      </c>
    </row>
    <row r="716" spans="1:13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 t="str">
        <f t="shared" si="44"/>
        <v>60+</v>
      </c>
      <c r="K716" t="str">
        <f t="shared" si="45"/>
        <v>domingo-11</v>
      </c>
      <c r="L716">
        <f t="shared" si="46"/>
        <v>2023</v>
      </c>
      <c r="M716" t="str">
        <f t="shared" si="47"/>
        <v>T4-2023</v>
      </c>
    </row>
    <row r="717" spans="1:13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 t="str">
        <f t="shared" si="44"/>
        <v>60+</v>
      </c>
      <c r="K717" t="str">
        <f t="shared" si="45"/>
        <v>martes-08</v>
      </c>
      <c r="L717">
        <f t="shared" si="46"/>
        <v>2023</v>
      </c>
      <c r="M717" t="str">
        <f t="shared" si="47"/>
        <v>T3-2023</v>
      </c>
    </row>
    <row r="718" spans="1:13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 t="str">
        <f t="shared" si="44"/>
        <v>60+</v>
      </c>
      <c r="K718" t="str">
        <f t="shared" si="45"/>
        <v>sábado-03</v>
      </c>
      <c r="L718">
        <f t="shared" si="46"/>
        <v>2023</v>
      </c>
      <c r="M718" t="str">
        <f t="shared" si="47"/>
        <v>T1-2023</v>
      </c>
    </row>
    <row r="719" spans="1:13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 t="str">
        <f t="shared" si="44"/>
        <v>60+</v>
      </c>
      <c r="K719" t="str">
        <f t="shared" si="45"/>
        <v>viernes-08</v>
      </c>
      <c r="L719">
        <f t="shared" si="46"/>
        <v>2023</v>
      </c>
      <c r="M719" t="str">
        <f t="shared" si="47"/>
        <v>T3-2023</v>
      </c>
    </row>
    <row r="720" spans="1:13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 t="str">
        <f t="shared" si="44"/>
        <v>60+</v>
      </c>
      <c r="K720" t="str">
        <f t="shared" si="45"/>
        <v>martes-04</v>
      </c>
      <c r="L720">
        <f t="shared" si="46"/>
        <v>2023</v>
      </c>
      <c r="M720" t="str">
        <f t="shared" si="47"/>
        <v>T2-2023</v>
      </c>
    </row>
    <row r="721" spans="1:13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 t="str">
        <f t="shared" si="44"/>
        <v>60+</v>
      </c>
      <c r="K721" t="str">
        <f t="shared" si="45"/>
        <v>jueves-01</v>
      </c>
      <c r="L721">
        <f t="shared" si="46"/>
        <v>2023</v>
      </c>
      <c r="M721" t="str">
        <f t="shared" si="47"/>
        <v>T1-2023</v>
      </c>
    </row>
    <row r="722" spans="1:13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 t="str">
        <f t="shared" si="44"/>
        <v>60+</v>
      </c>
      <c r="K722" t="str">
        <f t="shared" si="45"/>
        <v>domingo-05</v>
      </c>
      <c r="L722">
        <f t="shared" si="46"/>
        <v>2023</v>
      </c>
      <c r="M722" t="str">
        <f t="shared" si="47"/>
        <v>T2-2023</v>
      </c>
    </row>
    <row r="723" spans="1:13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 t="str">
        <f t="shared" si="44"/>
        <v>60+</v>
      </c>
      <c r="K723" t="str">
        <f t="shared" si="45"/>
        <v>viernes-07</v>
      </c>
      <c r="L723">
        <f t="shared" si="46"/>
        <v>2023</v>
      </c>
      <c r="M723" t="str">
        <f t="shared" si="47"/>
        <v>T3-2023</v>
      </c>
    </row>
    <row r="724" spans="1:13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 t="str">
        <f t="shared" si="44"/>
        <v>60+</v>
      </c>
      <c r="K724" t="str">
        <f t="shared" si="45"/>
        <v>sábado-06</v>
      </c>
      <c r="L724">
        <f t="shared" si="46"/>
        <v>2023</v>
      </c>
      <c r="M724" t="str">
        <f t="shared" si="47"/>
        <v>T2-2023</v>
      </c>
    </row>
    <row r="725" spans="1:13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 t="str">
        <f t="shared" si="44"/>
        <v>60+</v>
      </c>
      <c r="K725" t="str">
        <f t="shared" si="45"/>
        <v>miércoles-04</v>
      </c>
      <c r="L725">
        <f t="shared" si="46"/>
        <v>2023</v>
      </c>
      <c r="M725" t="str">
        <f t="shared" si="47"/>
        <v>T2-2023</v>
      </c>
    </row>
    <row r="726" spans="1:13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 t="str">
        <f t="shared" si="44"/>
        <v>60+</v>
      </c>
      <c r="K726" t="str">
        <f t="shared" si="45"/>
        <v>lunes-08</v>
      </c>
      <c r="L726">
        <f t="shared" si="46"/>
        <v>2023</v>
      </c>
      <c r="M726" t="str">
        <f t="shared" si="47"/>
        <v>T3-2023</v>
      </c>
    </row>
    <row r="727" spans="1:13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 t="str">
        <f t="shared" si="44"/>
        <v>60+</v>
      </c>
      <c r="K727" t="str">
        <f t="shared" si="45"/>
        <v>sábado-06</v>
      </c>
      <c r="L727">
        <f t="shared" si="46"/>
        <v>2023</v>
      </c>
      <c r="M727" t="str">
        <f t="shared" si="47"/>
        <v>T2-2023</v>
      </c>
    </row>
    <row r="728" spans="1:13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 t="str">
        <f t="shared" si="44"/>
        <v>60+</v>
      </c>
      <c r="K728" t="str">
        <f t="shared" si="45"/>
        <v>jueves-06</v>
      </c>
      <c r="L728">
        <f t="shared" si="46"/>
        <v>2023</v>
      </c>
      <c r="M728" t="str">
        <f t="shared" si="47"/>
        <v>T2-2023</v>
      </c>
    </row>
    <row r="729" spans="1:13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 t="str">
        <f t="shared" si="44"/>
        <v>60+</v>
      </c>
      <c r="K729" t="str">
        <f t="shared" si="45"/>
        <v>viernes-07</v>
      </c>
      <c r="L729">
        <f t="shared" si="46"/>
        <v>2023</v>
      </c>
      <c r="M729" t="str">
        <f t="shared" si="47"/>
        <v>T3-2023</v>
      </c>
    </row>
    <row r="730" spans="1:13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 t="str">
        <f t="shared" si="44"/>
        <v>60+</v>
      </c>
      <c r="K730" t="str">
        <f t="shared" si="45"/>
        <v>martes-05</v>
      </c>
      <c r="L730">
        <f t="shared" si="46"/>
        <v>2023</v>
      </c>
      <c r="M730" t="str">
        <f t="shared" si="47"/>
        <v>T2-2023</v>
      </c>
    </row>
    <row r="731" spans="1:13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 t="str">
        <f t="shared" si="44"/>
        <v>60+</v>
      </c>
      <c r="K731" t="str">
        <f t="shared" si="45"/>
        <v>viernes-08</v>
      </c>
      <c r="L731">
        <f t="shared" si="46"/>
        <v>2023</v>
      </c>
      <c r="M731" t="str">
        <f t="shared" si="47"/>
        <v>T3-2023</v>
      </c>
    </row>
    <row r="732" spans="1:13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 t="str">
        <f t="shared" si="44"/>
        <v>60+</v>
      </c>
      <c r="K732" t="str">
        <f t="shared" si="45"/>
        <v>miércoles-05</v>
      </c>
      <c r="L732">
        <f t="shared" si="46"/>
        <v>2023</v>
      </c>
      <c r="M732" t="str">
        <f t="shared" si="47"/>
        <v>T2-2023</v>
      </c>
    </row>
    <row r="733" spans="1:13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 t="str">
        <f t="shared" si="44"/>
        <v>60+</v>
      </c>
      <c r="K733" t="str">
        <f t="shared" si="45"/>
        <v>sábado-02</v>
      </c>
      <c r="L733">
        <f t="shared" si="46"/>
        <v>2023</v>
      </c>
      <c r="M733" t="str">
        <f t="shared" si="47"/>
        <v>T1-2023</v>
      </c>
    </row>
    <row r="734" spans="1:13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 t="str">
        <f t="shared" si="44"/>
        <v>60+</v>
      </c>
      <c r="K734" t="str">
        <f t="shared" si="45"/>
        <v>martes-08</v>
      </c>
      <c r="L734">
        <f t="shared" si="46"/>
        <v>2023</v>
      </c>
      <c r="M734" t="str">
        <f t="shared" si="47"/>
        <v>T3-2023</v>
      </c>
    </row>
    <row r="735" spans="1:13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 t="str">
        <f t="shared" si="44"/>
        <v>60+</v>
      </c>
      <c r="K735" t="str">
        <f t="shared" si="45"/>
        <v>martes-01</v>
      </c>
      <c r="L735">
        <f t="shared" si="46"/>
        <v>2023</v>
      </c>
      <c r="M735" t="str">
        <f t="shared" si="47"/>
        <v>T1-2023</v>
      </c>
    </row>
    <row r="736" spans="1:13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 t="str">
        <f t="shared" si="44"/>
        <v>60+</v>
      </c>
      <c r="K736" t="str">
        <f t="shared" si="45"/>
        <v>miércoles-10</v>
      </c>
      <c r="L736">
        <f t="shared" si="46"/>
        <v>2023</v>
      </c>
      <c r="M736" t="str">
        <f t="shared" si="47"/>
        <v>T4-2023</v>
      </c>
    </row>
    <row r="737" spans="1:13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 t="str">
        <f t="shared" si="44"/>
        <v>60+</v>
      </c>
      <c r="K737" t="str">
        <f t="shared" si="45"/>
        <v>viernes-01</v>
      </c>
      <c r="L737">
        <f t="shared" si="46"/>
        <v>2023</v>
      </c>
      <c r="M737" t="str">
        <f t="shared" si="47"/>
        <v>T1-2023</v>
      </c>
    </row>
    <row r="738" spans="1:13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 t="str">
        <f t="shared" si="44"/>
        <v>60+</v>
      </c>
      <c r="K738" t="str">
        <f t="shared" si="45"/>
        <v>jueves-06</v>
      </c>
      <c r="L738">
        <f t="shared" si="46"/>
        <v>2023</v>
      </c>
      <c r="M738" t="str">
        <f t="shared" si="47"/>
        <v>T2-2023</v>
      </c>
    </row>
    <row r="739" spans="1:13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 t="str">
        <f t="shared" si="44"/>
        <v>60+</v>
      </c>
      <c r="K739" t="str">
        <f t="shared" si="45"/>
        <v>martes-04</v>
      </c>
      <c r="L739">
        <f t="shared" si="46"/>
        <v>2023</v>
      </c>
      <c r="M739" t="str">
        <f t="shared" si="47"/>
        <v>T2-2023</v>
      </c>
    </row>
    <row r="740" spans="1:13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 t="str">
        <f t="shared" si="44"/>
        <v>60+</v>
      </c>
      <c r="K740" t="str">
        <f t="shared" si="45"/>
        <v>miércoles-11</v>
      </c>
      <c r="L740">
        <f t="shared" si="46"/>
        <v>2023</v>
      </c>
      <c r="M740" t="str">
        <f t="shared" si="47"/>
        <v>T4-2023</v>
      </c>
    </row>
    <row r="741" spans="1:13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 t="str">
        <f t="shared" si="44"/>
        <v>60+</v>
      </c>
      <c r="K741" t="str">
        <f t="shared" si="45"/>
        <v>domingo-02</v>
      </c>
      <c r="L741">
        <f t="shared" si="46"/>
        <v>2023</v>
      </c>
      <c r="M741" t="str">
        <f t="shared" si="47"/>
        <v>T1-2023</v>
      </c>
    </row>
    <row r="742" spans="1:13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 t="str">
        <f t="shared" si="44"/>
        <v>60+</v>
      </c>
      <c r="K742" t="str">
        <f t="shared" si="45"/>
        <v>jueves-11</v>
      </c>
      <c r="L742">
        <f t="shared" si="46"/>
        <v>2023</v>
      </c>
      <c r="M742" t="str">
        <f t="shared" si="47"/>
        <v>T4-2023</v>
      </c>
    </row>
    <row r="743" spans="1:13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 t="str">
        <f t="shared" si="44"/>
        <v>60+</v>
      </c>
      <c r="K743" t="str">
        <f t="shared" si="45"/>
        <v>sábado-01</v>
      </c>
      <c r="L743">
        <f t="shared" si="46"/>
        <v>2023</v>
      </c>
      <c r="M743" t="str">
        <f t="shared" si="47"/>
        <v>T1-2023</v>
      </c>
    </row>
    <row r="744" spans="1:13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 t="str">
        <f t="shared" si="44"/>
        <v>60+</v>
      </c>
      <c r="K744" t="str">
        <f t="shared" si="45"/>
        <v>lunes-01</v>
      </c>
      <c r="L744">
        <f t="shared" si="46"/>
        <v>2023</v>
      </c>
      <c r="M744" t="str">
        <f t="shared" si="47"/>
        <v>T1-2023</v>
      </c>
    </row>
    <row r="745" spans="1:13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 t="str">
        <f t="shared" si="44"/>
        <v>60+</v>
      </c>
      <c r="K745" t="str">
        <f t="shared" si="45"/>
        <v>domingo-05</v>
      </c>
      <c r="L745">
        <f t="shared" si="46"/>
        <v>2023</v>
      </c>
      <c r="M745" t="str">
        <f t="shared" si="47"/>
        <v>T2-2023</v>
      </c>
    </row>
    <row r="746" spans="1:13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 t="str">
        <f t="shared" si="44"/>
        <v>60+</v>
      </c>
      <c r="K746" t="str">
        <f t="shared" si="45"/>
        <v>jueves-04</v>
      </c>
      <c r="L746">
        <f t="shared" si="46"/>
        <v>2023</v>
      </c>
      <c r="M746" t="str">
        <f t="shared" si="47"/>
        <v>T2-2023</v>
      </c>
    </row>
    <row r="747" spans="1:13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 t="str">
        <f t="shared" si="44"/>
        <v>60+</v>
      </c>
      <c r="K747" t="str">
        <f t="shared" si="45"/>
        <v>miércoles-01</v>
      </c>
      <c r="L747">
        <f t="shared" si="46"/>
        <v>2023</v>
      </c>
      <c r="M747" t="str">
        <f t="shared" si="47"/>
        <v>T1-2023</v>
      </c>
    </row>
    <row r="748" spans="1:13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 t="str">
        <f t="shared" si="44"/>
        <v>60+</v>
      </c>
      <c r="K748" t="str">
        <f t="shared" si="45"/>
        <v>miércoles-11</v>
      </c>
      <c r="L748">
        <f t="shared" si="46"/>
        <v>2023</v>
      </c>
      <c r="M748" t="str">
        <f t="shared" si="47"/>
        <v>T4-2023</v>
      </c>
    </row>
    <row r="749" spans="1:13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 t="str">
        <f t="shared" si="44"/>
        <v>60+</v>
      </c>
      <c r="K749" t="str">
        <f t="shared" si="45"/>
        <v>lunes-03</v>
      </c>
      <c r="L749">
        <f t="shared" si="46"/>
        <v>2023</v>
      </c>
      <c r="M749" t="str">
        <f t="shared" si="47"/>
        <v>T1-2023</v>
      </c>
    </row>
    <row r="750" spans="1:13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 t="str">
        <f t="shared" si="44"/>
        <v>60+</v>
      </c>
      <c r="K750" t="str">
        <f t="shared" si="45"/>
        <v>miércoles-05</v>
      </c>
      <c r="L750">
        <f t="shared" si="46"/>
        <v>2023</v>
      </c>
      <c r="M750" t="str">
        <f t="shared" si="47"/>
        <v>T2-2023</v>
      </c>
    </row>
    <row r="751" spans="1:13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 t="str">
        <f t="shared" si="44"/>
        <v>60+</v>
      </c>
      <c r="K751" t="str">
        <f t="shared" si="45"/>
        <v>lunes-03</v>
      </c>
      <c r="L751">
        <f t="shared" si="46"/>
        <v>2023</v>
      </c>
      <c r="M751" t="str">
        <f t="shared" si="47"/>
        <v>T1-2023</v>
      </c>
    </row>
    <row r="752" spans="1:13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 t="str">
        <f t="shared" si="44"/>
        <v>60+</v>
      </c>
      <c r="K752" t="str">
        <f t="shared" si="45"/>
        <v>jueves-08</v>
      </c>
      <c r="L752">
        <f t="shared" si="46"/>
        <v>2023</v>
      </c>
      <c r="M752" t="str">
        <f t="shared" si="47"/>
        <v>T3-2023</v>
      </c>
    </row>
    <row r="753" spans="1:13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 t="str">
        <f t="shared" si="44"/>
        <v>60+</v>
      </c>
      <c r="K753" t="str">
        <f t="shared" si="45"/>
        <v>sábado-12</v>
      </c>
      <c r="L753">
        <f t="shared" si="46"/>
        <v>2023</v>
      </c>
      <c r="M753" t="str">
        <f t="shared" si="47"/>
        <v>T4-2023</v>
      </c>
    </row>
    <row r="754" spans="1:13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 t="str">
        <f t="shared" si="44"/>
        <v>60+</v>
      </c>
      <c r="K754" t="str">
        <f t="shared" si="45"/>
        <v>martes-02</v>
      </c>
      <c r="L754">
        <f t="shared" si="46"/>
        <v>2023</v>
      </c>
      <c r="M754" t="str">
        <f t="shared" si="47"/>
        <v>T1-2023</v>
      </c>
    </row>
    <row r="755" spans="1:13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 t="str">
        <f t="shared" si="44"/>
        <v>60+</v>
      </c>
      <c r="K755" t="str">
        <f t="shared" si="45"/>
        <v>lunes-10</v>
      </c>
      <c r="L755">
        <f t="shared" si="46"/>
        <v>2023</v>
      </c>
      <c r="M755" t="str">
        <f t="shared" si="47"/>
        <v>T4-2023</v>
      </c>
    </row>
    <row r="756" spans="1:13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 t="str">
        <f t="shared" si="44"/>
        <v>60+</v>
      </c>
      <c r="K756" t="str">
        <f t="shared" si="45"/>
        <v>sábado-04</v>
      </c>
      <c r="L756">
        <f t="shared" si="46"/>
        <v>2023</v>
      </c>
      <c r="M756" t="str">
        <f t="shared" si="47"/>
        <v>T2-2023</v>
      </c>
    </row>
    <row r="757" spans="1:13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 t="str">
        <f t="shared" si="44"/>
        <v>60+</v>
      </c>
      <c r="K757" t="str">
        <f t="shared" si="45"/>
        <v>domingo-08</v>
      </c>
      <c r="L757">
        <f t="shared" si="46"/>
        <v>2023</v>
      </c>
      <c r="M757" t="str">
        <f t="shared" si="47"/>
        <v>T3-2023</v>
      </c>
    </row>
    <row r="758" spans="1:13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 t="str">
        <f t="shared" si="44"/>
        <v>60+</v>
      </c>
      <c r="K758" t="str">
        <f t="shared" si="45"/>
        <v>lunes-12</v>
      </c>
      <c r="L758">
        <f t="shared" si="46"/>
        <v>2023</v>
      </c>
      <c r="M758" t="str">
        <f t="shared" si="47"/>
        <v>T4-2023</v>
      </c>
    </row>
    <row r="759" spans="1:13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 t="str">
        <f t="shared" si="44"/>
        <v>60+</v>
      </c>
      <c r="K759" t="str">
        <f t="shared" si="45"/>
        <v>viernes-05</v>
      </c>
      <c r="L759">
        <f t="shared" si="46"/>
        <v>2023</v>
      </c>
      <c r="M759" t="str">
        <f t="shared" si="47"/>
        <v>T2-2023</v>
      </c>
    </row>
    <row r="760" spans="1:13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 t="str">
        <f t="shared" si="44"/>
        <v>60+</v>
      </c>
      <c r="K760" t="str">
        <f t="shared" si="45"/>
        <v>sábado-07</v>
      </c>
      <c r="L760">
        <f t="shared" si="46"/>
        <v>2023</v>
      </c>
      <c r="M760" t="str">
        <f t="shared" si="47"/>
        <v>T3-2023</v>
      </c>
    </row>
    <row r="761" spans="1:13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 t="str">
        <f t="shared" si="44"/>
        <v>60+</v>
      </c>
      <c r="K761" t="str">
        <f t="shared" si="45"/>
        <v>lunes-03</v>
      </c>
      <c r="L761">
        <f t="shared" si="46"/>
        <v>2023</v>
      </c>
      <c r="M761" t="str">
        <f t="shared" si="47"/>
        <v>T1-2023</v>
      </c>
    </row>
    <row r="762" spans="1:13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 t="str">
        <f t="shared" si="44"/>
        <v>60+</v>
      </c>
      <c r="K762" t="str">
        <f t="shared" si="45"/>
        <v>martes-11</v>
      </c>
      <c r="L762">
        <f t="shared" si="46"/>
        <v>2023</v>
      </c>
      <c r="M762" t="str">
        <f t="shared" si="47"/>
        <v>T4-2023</v>
      </c>
    </row>
    <row r="763" spans="1:13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 t="str">
        <f t="shared" si="44"/>
        <v>60+</v>
      </c>
      <c r="K763" t="str">
        <f t="shared" si="45"/>
        <v>martes-11</v>
      </c>
      <c r="L763">
        <f t="shared" si="46"/>
        <v>2023</v>
      </c>
      <c r="M763" t="str">
        <f t="shared" si="47"/>
        <v>T4-2023</v>
      </c>
    </row>
    <row r="764" spans="1:13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 t="str">
        <f t="shared" si="44"/>
        <v>60+</v>
      </c>
      <c r="K764" t="str">
        <f t="shared" si="45"/>
        <v>martes-02</v>
      </c>
      <c r="L764">
        <f t="shared" si="46"/>
        <v>2023</v>
      </c>
      <c r="M764" t="str">
        <f t="shared" si="47"/>
        <v>T1-2023</v>
      </c>
    </row>
    <row r="765" spans="1:13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 t="str">
        <f t="shared" si="44"/>
        <v>60+</v>
      </c>
      <c r="K765" t="str">
        <f t="shared" si="45"/>
        <v>sábado-03</v>
      </c>
      <c r="L765">
        <f t="shared" si="46"/>
        <v>2023</v>
      </c>
      <c r="M765" t="str">
        <f t="shared" si="47"/>
        <v>T1-2023</v>
      </c>
    </row>
    <row r="766" spans="1:13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 t="str">
        <f t="shared" si="44"/>
        <v>60+</v>
      </c>
      <c r="K766" t="str">
        <f t="shared" si="45"/>
        <v>viernes-06</v>
      </c>
      <c r="L766">
        <f t="shared" si="46"/>
        <v>2023</v>
      </c>
      <c r="M766" t="str">
        <f t="shared" si="47"/>
        <v>T2-2023</v>
      </c>
    </row>
    <row r="767" spans="1:13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 t="str">
        <f t="shared" si="44"/>
        <v>60+</v>
      </c>
      <c r="K767" t="str">
        <f t="shared" si="45"/>
        <v>sábado-02</v>
      </c>
      <c r="L767">
        <f t="shared" si="46"/>
        <v>2023</v>
      </c>
      <c r="M767" t="str">
        <f t="shared" si="47"/>
        <v>T1-2023</v>
      </c>
    </row>
    <row r="768" spans="1:13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 t="str">
        <f t="shared" si="44"/>
        <v>60+</v>
      </c>
      <c r="K768" t="str">
        <f t="shared" si="45"/>
        <v>martes-10</v>
      </c>
      <c r="L768">
        <f t="shared" si="46"/>
        <v>2023</v>
      </c>
      <c r="M768" t="str">
        <f t="shared" si="47"/>
        <v>T4-2023</v>
      </c>
    </row>
    <row r="769" spans="1:13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 t="str">
        <f t="shared" si="44"/>
        <v>60+</v>
      </c>
      <c r="K769" t="str">
        <f t="shared" si="45"/>
        <v>sábado-01</v>
      </c>
      <c r="L769">
        <f t="shared" si="46"/>
        <v>2023</v>
      </c>
      <c r="M769" t="str">
        <f t="shared" si="47"/>
        <v>T1-2023</v>
      </c>
    </row>
    <row r="770" spans="1:13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 t="str">
        <f t="shared" si="44"/>
        <v>60+</v>
      </c>
      <c r="K770" t="str">
        <f t="shared" si="45"/>
        <v>viernes-06</v>
      </c>
      <c r="L770">
        <f t="shared" si="46"/>
        <v>2023</v>
      </c>
      <c r="M770" t="str">
        <f t="shared" si="47"/>
        <v>T2-2023</v>
      </c>
    </row>
    <row r="771" spans="1:13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 t="str">
        <f t="shared" ref="J771:J834" si="48">IF(D771&lt;30,"18-29",IF(D771&lt;45,"30-44",IF(D771&lt;60,"45-59","60+")))</f>
        <v>60+</v>
      </c>
      <c r="K771" t="str">
        <f t="shared" ref="K771:K834" si="49">TEXT(B771,"AAAA-MM")</f>
        <v>domingo-10</v>
      </c>
      <c r="L771">
        <f t="shared" ref="L771:L834" si="50">YEAR(B771)</f>
        <v>2023</v>
      </c>
      <c r="M771" t="str">
        <f t="shared" ref="M771:M834" si="51">"T"&amp;INT((MONTH(B771)-1)/3+1)&amp;"-"&amp;YEAR(B771)</f>
        <v>T4-2023</v>
      </c>
    </row>
    <row r="772" spans="1:13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 t="str">
        <f t="shared" si="48"/>
        <v>60+</v>
      </c>
      <c r="K772" t="str">
        <f t="shared" si="49"/>
        <v>miércoles-12</v>
      </c>
      <c r="L772">
        <f t="shared" si="50"/>
        <v>2023</v>
      </c>
      <c r="M772" t="str">
        <f t="shared" si="51"/>
        <v>T4-2023</v>
      </c>
    </row>
    <row r="773" spans="1:13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 t="str">
        <f t="shared" si="48"/>
        <v>60+</v>
      </c>
      <c r="K773" t="str">
        <f t="shared" si="49"/>
        <v>miércoles-07</v>
      </c>
      <c r="L773">
        <f t="shared" si="50"/>
        <v>2023</v>
      </c>
      <c r="M773" t="str">
        <f t="shared" si="51"/>
        <v>T3-2023</v>
      </c>
    </row>
    <row r="774" spans="1:13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 t="str">
        <f t="shared" si="48"/>
        <v>60+</v>
      </c>
      <c r="K774" t="str">
        <f t="shared" si="49"/>
        <v>domingo-07</v>
      </c>
      <c r="L774">
        <f t="shared" si="50"/>
        <v>2023</v>
      </c>
      <c r="M774" t="str">
        <f t="shared" si="51"/>
        <v>T3-2023</v>
      </c>
    </row>
    <row r="775" spans="1:13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 t="str">
        <f t="shared" si="48"/>
        <v>60+</v>
      </c>
      <c r="K775" t="str">
        <f t="shared" si="49"/>
        <v>miércoles-04</v>
      </c>
      <c r="L775">
        <f t="shared" si="50"/>
        <v>2023</v>
      </c>
      <c r="M775" t="str">
        <f t="shared" si="51"/>
        <v>T2-2023</v>
      </c>
    </row>
    <row r="776" spans="1:13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 t="str">
        <f t="shared" si="48"/>
        <v>60+</v>
      </c>
      <c r="K776" t="str">
        <f t="shared" si="49"/>
        <v>miércoles-02</v>
      </c>
      <c r="L776">
        <f t="shared" si="50"/>
        <v>2023</v>
      </c>
      <c r="M776" t="str">
        <f t="shared" si="51"/>
        <v>T1-2023</v>
      </c>
    </row>
    <row r="777" spans="1:13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 t="str">
        <f t="shared" si="48"/>
        <v>60+</v>
      </c>
      <c r="K777" t="str">
        <f t="shared" si="49"/>
        <v>martes-10</v>
      </c>
      <c r="L777">
        <f t="shared" si="50"/>
        <v>2023</v>
      </c>
      <c r="M777" t="str">
        <f t="shared" si="51"/>
        <v>T4-2023</v>
      </c>
    </row>
    <row r="778" spans="1:13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 t="str">
        <f t="shared" si="48"/>
        <v>60+</v>
      </c>
      <c r="K778" t="str">
        <f t="shared" si="49"/>
        <v>miércoles-12</v>
      </c>
      <c r="L778">
        <f t="shared" si="50"/>
        <v>2023</v>
      </c>
      <c r="M778" t="str">
        <f t="shared" si="51"/>
        <v>T4-2023</v>
      </c>
    </row>
    <row r="779" spans="1:13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 t="str">
        <f t="shared" si="48"/>
        <v>60+</v>
      </c>
      <c r="K779" t="str">
        <f t="shared" si="49"/>
        <v>sábado-11</v>
      </c>
      <c r="L779">
        <f t="shared" si="50"/>
        <v>2023</v>
      </c>
      <c r="M779" t="str">
        <f t="shared" si="51"/>
        <v>T4-2023</v>
      </c>
    </row>
    <row r="780" spans="1:13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 t="str">
        <f t="shared" si="48"/>
        <v>60+</v>
      </c>
      <c r="K780" t="str">
        <f t="shared" si="49"/>
        <v>viernes-05</v>
      </c>
      <c r="L780">
        <f t="shared" si="50"/>
        <v>2023</v>
      </c>
      <c r="M780" t="str">
        <f t="shared" si="51"/>
        <v>T2-2023</v>
      </c>
    </row>
    <row r="781" spans="1:13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 t="str">
        <f t="shared" si="48"/>
        <v>60+</v>
      </c>
      <c r="K781" t="str">
        <f t="shared" si="49"/>
        <v>miércoles-02</v>
      </c>
      <c r="L781">
        <f t="shared" si="50"/>
        <v>2023</v>
      </c>
      <c r="M781" t="str">
        <f t="shared" si="51"/>
        <v>T1-2023</v>
      </c>
    </row>
    <row r="782" spans="1:13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 t="str">
        <f t="shared" si="48"/>
        <v>60+</v>
      </c>
      <c r="K782" t="str">
        <f t="shared" si="49"/>
        <v>sábado-12</v>
      </c>
      <c r="L782">
        <f t="shared" si="50"/>
        <v>2023</v>
      </c>
      <c r="M782" t="str">
        <f t="shared" si="51"/>
        <v>T4-2023</v>
      </c>
    </row>
    <row r="783" spans="1:13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 t="str">
        <f t="shared" si="48"/>
        <v>60+</v>
      </c>
      <c r="K783" t="str">
        <f t="shared" si="49"/>
        <v>domingo-06</v>
      </c>
      <c r="L783">
        <f t="shared" si="50"/>
        <v>2023</v>
      </c>
      <c r="M783" t="str">
        <f t="shared" si="51"/>
        <v>T2-2023</v>
      </c>
    </row>
    <row r="784" spans="1:13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 t="str">
        <f t="shared" si="48"/>
        <v>60+</v>
      </c>
      <c r="K784" t="str">
        <f t="shared" si="49"/>
        <v>domingo-12</v>
      </c>
      <c r="L784">
        <f t="shared" si="50"/>
        <v>2023</v>
      </c>
      <c r="M784" t="str">
        <f t="shared" si="51"/>
        <v>T4-2023</v>
      </c>
    </row>
    <row r="785" spans="1:13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 t="str">
        <f t="shared" si="48"/>
        <v>60+</v>
      </c>
      <c r="K785" t="str">
        <f t="shared" si="49"/>
        <v>sábado-11</v>
      </c>
      <c r="L785">
        <f t="shared" si="50"/>
        <v>2023</v>
      </c>
      <c r="M785" t="str">
        <f t="shared" si="51"/>
        <v>T4-2023</v>
      </c>
    </row>
    <row r="786" spans="1:13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 t="str">
        <f t="shared" si="48"/>
        <v>60+</v>
      </c>
      <c r="K786" t="str">
        <f t="shared" si="49"/>
        <v>viernes-03</v>
      </c>
      <c r="L786">
        <f t="shared" si="50"/>
        <v>2023</v>
      </c>
      <c r="M786" t="str">
        <f t="shared" si="51"/>
        <v>T1-2023</v>
      </c>
    </row>
    <row r="787" spans="1:13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 t="str">
        <f t="shared" si="48"/>
        <v>60+</v>
      </c>
      <c r="K787" t="str">
        <f t="shared" si="49"/>
        <v>martes-10</v>
      </c>
      <c r="L787">
        <f t="shared" si="50"/>
        <v>2023</v>
      </c>
      <c r="M787" t="str">
        <f t="shared" si="51"/>
        <v>T4-2023</v>
      </c>
    </row>
    <row r="788" spans="1:13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 t="str">
        <f t="shared" si="48"/>
        <v>60+</v>
      </c>
      <c r="K788" t="str">
        <f t="shared" si="49"/>
        <v>domingo-01</v>
      </c>
      <c r="L788">
        <f t="shared" si="50"/>
        <v>2023</v>
      </c>
      <c r="M788" t="str">
        <f t="shared" si="51"/>
        <v>T1-2023</v>
      </c>
    </row>
    <row r="789" spans="1:13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 t="str">
        <f t="shared" si="48"/>
        <v>60+</v>
      </c>
      <c r="K789" t="str">
        <f t="shared" si="49"/>
        <v>martes-06</v>
      </c>
      <c r="L789">
        <f t="shared" si="50"/>
        <v>2023</v>
      </c>
      <c r="M789" t="str">
        <f t="shared" si="51"/>
        <v>T2-2023</v>
      </c>
    </row>
    <row r="790" spans="1:13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 t="str">
        <f t="shared" si="48"/>
        <v>60+</v>
      </c>
      <c r="K790" t="str">
        <f t="shared" si="49"/>
        <v>sábado-09</v>
      </c>
      <c r="L790">
        <f t="shared" si="50"/>
        <v>2023</v>
      </c>
      <c r="M790" t="str">
        <f t="shared" si="51"/>
        <v>T3-2023</v>
      </c>
    </row>
    <row r="791" spans="1:13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 t="str">
        <f t="shared" si="48"/>
        <v>60+</v>
      </c>
      <c r="K791" t="str">
        <f t="shared" si="49"/>
        <v>martes-08</v>
      </c>
      <c r="L791">
        <f t="shared" si="50"/>
        <v>2023</v>
      </c>
      <c r="M791" t="str">
        <f t="shared" si="51"/>
        <v>T3-2023</v>
      </c>
    </row>
    <row r="792" spans="1:13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 t="str">
        <f t="shared" si="48"/>
        <v>60+</v>
      </c>
      <c r="K792" t="str">
        <f t="shared" si="49"/>
        <v>martes-12</v>
      </c>
      <c r="L792">
        <f t="shared" si="50"/>
        <v>2023</v>
      </c>
      <c r="M792" t="str">
        <f t="shared" si="51"/>
        <v>T4-2023</v>
      </c>
    </row>
    <row r="793" spans="1:13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 t="str">
        <f t="shared" si="48"/>
        <v>60+</v>
      </c>
      <c r="K793" t="str">
        <f t="shared" si="49"/>
        <v>domingo-07</v>
      </c>
      <c r="L793">
        <f t="shared" si="50"/>
        <v>2023</v>
      </c>
      <c r="M793" t="str">
        <f t="shared" si="51"/>
        <v>T3-2023</v>
      </c>
    </row>
    <row r="794" spans="1:13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 t="str">
        <f t="shared" si="48"/>
        <v>60+</v>
      </c>
      <c r="K794" t="str">
        <f t="shared" si="49"/>
        <v>domingo-02</v>
      </c>
      <c r="L794">
        <f t="shared" si="50"/>
        <v>2023</v>
      </c>
      <c r="M794" t="str">
        <f t="shared" si="51"/>
        <v>T1-2023</v>
      </c>
    </row>
    <row r="795" spans="1:13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 t="str">
        <f t="shared" si="48"/>
        <v>60+</v>
      </c>
      <c r="K795" t="str">
        <f t="shared" si="49"/>
        <v>domingo-09</v>
      </c>
      <c r="L795">
        <f t="shared" si="50"/>
        <v>2023</v>
      </c>
      <c r="M795" t="str">
        <f t="shared" si="51"/>
        <v>T3-2023</v>
      </c>
    </row>
    <row r="796" spans="1:13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 t="str">
        <f t="shared" si="48"/>
        <v>60+</v>
      </c>
      <c r="K796" t="str">
        <f t="shared" si="49"/>
        <v>martes-11</v>
      </c>
      <c r="L796">
        <f t="shared" si="50"/>
        <v>2023</v>
      </c>
      <c r="M796" t="str">
        <f t="shared" si="51"/>
        <v>T4-2023</v>
      </c>
    </row>
    <row r="797" spans="1:13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 t="str">
        <f t="shared" si="48"/>
        <v>60+</v>
      </c>
      <c r="K797" t="str">
        <f t="shared" si="49"/>
        <v>sábado-06</v>
      </c>
      <c r="L797">
        <f t="shared" si="50"/>
        <v>2023</v>
      </c>
      <c r="M797" t="str">
        <f t="shared" si="51"/>
        <v>T2-2023</v>
      </c>
    </row>
    <row r="798" spans="1:13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 t="str">
        <f t="shared" si="48"/>
        <v>60+</v>
      </c>
      <c r="K798" t="str">
        <f t="shared" si="49"/>
        <v>sábado-01</v>
      </c>
      <c r="L798">
        <f t="shared" si="50"/>
        <v>2023</v>
      </c>
      <c r="M798" t="str">
        <f t="shared" si="51"/>
        <v>T1-2023</v>
      </c>
    </row>
    <row r="799" spans="1:13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 t="str">
        <f t="shared" si="48"/>
        <v>60+</v>
      </c>
      <c r="K799" t="str">
        <f t="shared" si="49"/>
        <v>viernes-08</v>
      </c>
      <c r="L799">
        <f t="shared" si="50"/>
        <v>2023</v>
      </c>
      <c r="M799" t="str">
        <f t="shared" si="51"/>
        <v>T3-2023</v>
      </c>
    </row>
    <row r="800" spans="1:13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 t="str">
        <f t="shared" si="48"/>
        <v>60+</v>
      </c>
      <c r="K800" t="str">
        <f t="shared" si="49"/>
        <v>viernes-09</v>
      </c>
      <c r="L800">
        <f t="shared" si="50"/>
        <v>2023</v>
      </c>
      <c r="M800" t="str">
        <f t="shared" si="51"/>
        <v>T3-2023</v>
      </c>
    </row>
    <row r="801" spans="1:13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 t="str">
        <f t="shared" si="48"/>
        <v>60+</v>
      </c>
      <c r="K801" t="str">
        <f t="shared" si="49"/>
        <v>viernes-02</v>
      </c>
      <c r="L801">
        <f t="shared" si="50"/>
        <v>2023</v>
      </c>
      <c r="M801" t="str">
        <f t="shared" si="51"/>
        <v>T1-2023</v>
      </c>
    </row>
    <row r="802" spans="1:13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 t="str">
        <f t="shared" si="48"/>
        <v>60+</v>
      </c>
      <c r="K802" t="str">
        <f t="shared" si="49"/>
        <v>jueves-08</v>
      </c>
      <c r="L802">
        <f t="shared" si="50"/>
        <v>2023</v>
      </c>
      <c r="M802" t="str">
        <f t="shared" si="51"/>
        <v>T3-2023</v>
      </c>
    </row>
    <row r="803" spans="1:13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 t="str">
        <f t="shared" si="48"/>
        <v>60+</v>
      </c>
      <c r="K803" t="str">
        <f t="shared" si="49"/>
        <v>miércoles-07</v>
      </c>
      <c r="L803">
        <f t="shared" si="50"/>
        <v>2023</v>
      </c>
      <c r="M803" t="str">
        <f t="shared" si="51"/>
        <v>T3-2023</v>
      </c>
    </row>
    <row r="804" spans="1:13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 t="str">
        <f t="shared" si="48"/>
        <v>60+</v>
      </c>
      <c r="K804" t="str">
        <f t="shared" si="49"/>
        <v>miércoles-11</v>
      </c>
      <c r="L804">
        <f t="shared" si="50"/>
        <v>2023</v>
      </c>
      <c r="M804" t="str">
        <f t="shared" si="51"/>
        <v>T4-2023</v>
      </c>
    </row>
    <row r="805" spans="1:13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 t="str">
        <f t="shared" si="48"/>
        <v>60+</v>
      </c>
      <c r="K805" t="str">
        <f t="shared" si="49"/>
        <v>jueves-08</v>
      </c>
      <c r="L805">
        <f t="shared" si="50"/>
        <v>2023</v>
      </c>
      <c r="M805" t="str">
        <f t="shared" si="51"/>
        <v>T3-2023</v>
      </c>
    </row>
    <row r="806" spans="1:13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 t="str">
        <f t="shared" si="48"/>
        <v>60+</v>
      </c>
      <c r="K806" t="str">
        <f t="shared" si="49"/>
        <v>viernes-12</v>
      </c>
      <c r="L806">
        <f t="shared" si="50"/>
        <v>2023</v>
      </c>
      <c r="M806" t="str">
        <f t="shared" si="51"/>
        <v>T4-2023</v>
      </c>
    </row>
    <row r="807" spans="1:13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 t="str">
        <f t="shared" si="48"/>
        <v>60+</v>
      </c>
      <c r="K807" t="str">
        <f t="shared" si="49"/>
        <v>lunes-03</v>
      </c>
      <c r="L807">
        <f t="shared" si="50"/>
        <v>2023</v>
      </c>
      <c r="M807" t="str">
        <f t="shared" si="51"/>
        <v>T1-2023</v>
      </c>
    </row>
    <row r="808" spans="1:13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 t="str">
        <f t="shared" si="48"/>
        <v>60+</v>
      </c>
      <c r="K808" t="str">
        <f t="shared" si="49"/>
        <v>viernes-08</v>
      </c>
      <c r="L808">
        <f t="shared" si="50"/>
        <v>2023</v>
      </c>
      <c r="M808" t="str">
        <f t="shared" si="51"/>
        <v>T3-2023</v>
      </c>
    </row>
    <row r="809" spans="1:13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 t="str">
        <f t="shared" si="48"/>
        <v>60+</v>
      </c>
      <c r="K809" t="str">
        <f t="shared" si="49"/>
        <v>sábado-04</v>
      </c>
      <c r="L809">
        <f t="shared" si="50"/>
        <v>2023</v>
      </c>
      <c r="M809" t="str">
        <f t="shared" si="51"/>
        <v>T2-2023</v>
      </c>
    </row>
    <row r="810" spans="1:13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 t="str">
        <f t="shared" si="48"/>
        <v>60+</v>
      </c>
      <c r="K810" t="str">
        <f t="shared" si="49"/>
        <v>lunes-09</v>
      </c>
      <c r="L810">
        <f t="shared" si="50"/>
        <v>2023</v>
      </c>
      <c r="M810" t="str">
        <f t="shared" si="51"/>
        <v>T3-2023</v>
      </c>
    </row>
    <row r="811" spans="1:13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 t="str">
        <f t="shared" si="48"/>
        <v>60+</v>
      </c>
      <c r="K811" t="str">
        <f t="shared" si="49"/>
        <v>jueves-11</v>
      </c>
      <c r="L811">
        <f t="shared" si="50"/>
        <v>2023</v>
      </c>
      <c r="M811" t="str">
        <f t="shared" si="51"/>
        <v>T4-2023</v>
      </c>
    </row>
    <row r="812" spans="1:13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 t="str">
        <f t="shared" si="48"/>
        <v>60+</v>
      </c>
      <c r="K812" t="str">
        <f t="shared" si="49"/>
        <v>viernes-05</v>
      </c>
      <c r="L812">
        <f t="shared" si="50"/>
        <v>2023</v>
      </c>
      <c r="M812" t="str">
        <f t="shared" si="51"/>
        <v>T2-2023</v>
      </c>
    </row>
    <row r="813" spans="1:13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 t="str">
        <f t="shared" si="48"/>
        <v>60+</v>
      </c>
      <c r="K813" t="str">
        <f t="shared" si="49"/>
        <v>domingo-11</v>
      </c>
      <c r="L813">
        <f t="shared" si="50"/>
        <v>2023</v>
      </c>
      <c r="M813" t="str">
        <f t="shared" si="51"/>
        <v>T4-2023</v>
      </c>
    </row>
    <row r="814" spans="1:13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 t="str">
        <f t="shared" si="48"/>
        <v>60+</v>
      </c>
      <c r="K814" t="str">
        <f t="shared" si="49"/>
        <v>martes-10</v>
      </c>
      <c r="L814">
        <f t="shared" si="50"/>
        <v>2023</v>
      </c>
      <c r="M814" t="str">
        <f t="shared" si="51"/>
        <v>T4-2023</v>
      </c>
    </row>
    <row r="815" spans="1:13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 t="str">
        <f t="shared" si="48"/>
        <v>60+</v>
      </c>
      <c r="K815" t="str">
        <f t="shared" si="49"/>
        <v>martes-09</v>
      </c>
      <c r="L815">
        <f t="shared" si="50"/>
        <v>2023</v>
      </c>
      <c r="M815" t="str">
        <f t="shared" si="51"/>
        <v>T3-2023</v>
      </c>
    </row>
    <row r="816" spans="1:13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 t="str">
        <f t="shared" si="48"/>
        <v>60+</v>
      </c>
      <c r="K816" t="str">
        <f t="shared" si="49"/>
        <v>domingo-08</v>
      </c>
      <c r="L816">
        <f t="shared" si="50"/>
        <v>2023</v>
      </c>
      <c r="M816" t="str">
        <f t="shared" si="51"/>
        <v>T3-2023</v>
      </c>
    </row>
    <row r="817" spans="1:13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 t="str">
        <f t="shared" si="48"/>
        <v>60+</v>
      </c>
      <c r="K817" t="str">
        <f t="shared" si="49"/>
        <v>sábado-08</v>
      </c>
      <c r="L817">
        <f t="shared" si="50"/>
        <v>2023</v>
      </c>
      <c r="M817" t="str">
        <f t="shared" si="51"/>
        <v>T3-2023</v>
      </c>
    </row>
    <row r="818" spans="1:13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 t="str">
        <f t="shared" si="48"/>
        <v>60+</v>
      </c>
      <c r="K818" t="str">
        <f t="shared" si="49"/>
        <v>martes-10</v>
      </c>
      <c r="L818">
        <f t="shared" si="50"/>
        <v>2023</v>
      </c>
      <c r="M818" t="str">
        <f t="shared" si="51"/>
        <v>T4-2023</v>
      </c>
    </row>
    <row r="819" spans="1:13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 t="str">
        <f t="shared" si="48"/>
        <v>60+</v>
      </c>
      <c r="K819" t="str">
        <f t="shared" si="49"/>
        <v>jueves-05</v>
      </c>
      <c r="L819">
        <f t="shared" si="50"/>
        <v>2023</v>
      </c>
      <c r="M819" t="str">
        <f t="shared" si="51"/>
        <v>T2-2023</v>
      </c>
    </row>
    <row r="820" spans="1:13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 t="str">
        <f t="shared" si="48"/>
        <v>60+</v>
      </c>
      <c r="K820" t="str">
        <f t="shared" si="49"/>
        <v>jueves-06</v>
      </c>
      <c r="L820">
        <f t="shared" si="50"/>
        <v>2023</v>
      </c>
      <c r="M820" t="str">
        <f t="shared" si="51"/>
        <v>T2-2023</v>
      </c>
    </row>
    <row r="821" spans="1:13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 t="str">
        <f t="shared" si="48"/>
        <v>60+</v>
      </c>
      <c r="K821" t="str">
        <f t="shared" si="49"/>
        <v>sábado-05</v>
      </c>
      <c r="L821">
        <f t="shared" si="50"/>
        <v>2023</v>
      </c>
      <c r="M821" t="str">
        <f t="shared" si="51"/>
        <v>T2-2023</v>
      </c>
    </row>
    <row r="822" spans="1:13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 t="str">
        <f t="shared" si="48"/>
        <v>60+</v>
      </c>
      <c r="K822" t="str">
        <f t="shared" si="49"/>
        <v>martes-02</v>
      </c>
      <c r="L822">
        <f t="shared" si="50"/>
        <v>2023</v>
      </c>
      <c r="M822" t="str">
        <f t="shared" si="51"/>
        <v>T1-2023</v>
      </c>
    </row>
    <row r="823" spans="1:13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 t="str">
        <f t="shared" si="48"/>
        <v>60+</v>
      </c>
      <c r="K823" t="str">
        <f t="shared" si="49"/>
        <v>martes-05</v>
      </c>
      <c r="L823">
        <f t="shared" si="50"/>
        <v>2023</v>
      </c>
      <c r="M823" t="str">
        <f t="shared" si="51"/>
        <v>T2-2023</v>
      </c>
    </row>
    <row r="824" spans="1:13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 t="str">
        <f t="shared" si="48"/>
        <v>60+</v>
      </c>
      <c r="K824" t="str">
        <f t="shared" si="49"/>
        <v>sábado-08</v>
      </c>
      <c r="L824">
        <f t="shared" si="50"/>
        <v>2023</v>
      </c>
      <c r="M824" t="str">
        <f t="shared" si="51"/>
        <v>T3-2023</v>
      </c>
    </row>
    <row r="825" spans="1:13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 t="str">
        <f t="shared" si="48"/>
        <v>60+</v>
      </c>
      <c r="K825" t="str">
        <f t="shared" si="49"/>
        <v>viernes-05</v>
      </c>
      <c r="L825">
        <f t="shared" si="50"/>
        <v>2023</v>
      </c>
      <c r="M825" t="str">
        <f t="shared" si="51"/>
        <v>T2-2023</v>
      </c>
    </row>
    <row r="826" spans="1:13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 t="str">
        <f t="shared" si="48"/>
        <v>60+</v>
      </c>
      <c r="K826" t="str">
        <f t="shared" si="49"/>
        <v>sábado-08</v>
      </c>
      <c r="L826">
        <f t="shared" si="50"/>
        <v>2023</v>
      </c>
      <c r="M826" t="str">
        <f t="shared" si="51"/>
        <v>T3-2023</v>
      </c>
    </row>
    <row r="827" spans="1:13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 t="str">
        <f t="shared" si="48"/>
        <v>60+</v>
      </c>
      <c r="K827" t="str">
        <f t="shared" si="49"/>
        <v>jueves-10</v>
      </c>
      <c r="L827">
        <f t="shared" si="50"/>
        <v>2023</v>
      </c>
      <c r="M827" t="str">
        <f t="shared" si="51"/>
        <v>T4-2023</v>
      </c>
    </row>
    <row r="828" spans="1:13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 t="str">
        <f t="shared" si="48"/>
        <v>60+</v>
      </c>
      <c r="K828" t="str">
        <f t="shared" si="49"/>
        <v>jueves-11</v>
      </c>
      <c r="L828">
        <f t="shared" si="50"/>
        <v>2023</v>
      </c>
      <c r="M828" t="str">
        <f t="shared" si="51"/>
        <v>T4-2023</v>
      </c>
    </row>
    <row r="829" spans="1:13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 t="str">
        <f t="shared" si="48"/>
        <v>60+</v>
      </c>
      <c r="K829" t="str">
        <f t="shared" si="49"/>
        <v>sábado-12</v>
      </c>
      <c r="L829">
        <f t="shared" si="50"/>
        <v>2023</v>
      </c>
      <c r="M829" t="str">
        <f t="shared" si="51"/>
        <v>T4-2023</v>
      </c>
    </row>
    <row r="830" spans="1:13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 t="str">
        <f t="shared" si="48"/>
        <v>60+</v>
      </c>
      <c r="K830" t="str">
        <f t="shared" si="49"/>
        <v>viernes-07</v>
      </c>
      <c r="L830">
        <f t="shared" si="50"/>
        <v>2023</v>
      </c>
      <c r="M830" t="str">
        <f t="shared" si="51"/>
        <v>T3-2023</v>
      </c>
    </row>
    <row r="831" spans="1:13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 t="str">
        <f t="shared" si="48"/>
        <v>60+</v>
      </c>
      <c r="K831" t="str">
        <f t="shared" si="49"/>
        <v>jueves-06</v>
      </c>
      <c r="L831">
        <f t="shared" si="50"/>
        <v>2023</v>
      </c>
      <c r="M831" t="str">
        <f t="shared" si="51"/>
        <v>T2-2023</v>
      </c>
    </row>
    <row r="832" spans="1:13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 t="str">
        <f t="shared" si="48"/>
        <v>60+</v>
      </c>
      <c r="K832" t="str">
        <f t="shared" si="49"/>
        <v>domingo-01</v>
      </c>
      <c r="L832">
        <f t="shared" si="50"/>
        <v>2023</v>
      </c>
      <c r="M832" t="str">
        <f t="shared" si="51"/>
        <v>T1-2023</v>
      </c>
    </row>
    <row r="833" spans="1:13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 t="str">
        <f t="shared" si="48"/>
        <v>60+</v>
      </c>
      <c r="K833" t="str">
        <f t="shared" si="49"/>
        <v>lunes-09</v>
      </c>
      <c r="L833">
        <f t="shared" si="50"/>
        <v>2023</v>
      </c>
      <c r="M833" t="str">
        <f t="shared" si="51"/>
        <v>T3-2023</v>
      </c>
    </row>
    <row r="834" spans="1:13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 t="str">
        <f t="shared" si="48"/>
        <v>60+</v>
      </c>
      <c r="K834" t="str">
        <f t="shared" si="49"/>
        <v>viernes-06</v>
      </c>
      <c r="L834">
        <f t="shared" si="50"/>
        <v>2023</v>
      </c>
      <c r="M834" t="str">
        <f t="shared" si="51"/>
        <v>T2-2023</v>
      </c>
    </row>
    <row r="835" spans="1:13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 t="str">
        <f t="shared" ref="J835:J898" si="52">IF(D835&lt;30,"18-29",IF(D835&lt;45,"30-44",IF(D835&lt;60,"45-59","60+")))</f>
        <v>60+</v>
      </c>
      <c r="K835" t="str">
        <f t="shared" ref="K835:K898" si="53">TEXT(B835,"AAAA-MM")</f>
        <v>martes-04</v>
      </c>
      <c r="L835">
        <f t="shared" ref="L835:L898" si="54">YEAR(B835)</f>
        <v>2023</v>
      </c>
      <c r="M835" t="str">
        <f t="shared" ref="M835:M898" si="55">"T"&amp;INT((MONTH(B835)-1)/3+1)&amp;"-"&amp;YEAR(B835)</f>
        <v>T2-2023</v>
      </c>
    </row>
    <row r="836" spans="1:13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 t="str">
        <f t="shared" si="52"/>
        <v>60+</v>
      </c>
      <c r="K836" t="str">
        <f t="shared" si="53"/>
        <v>jueves-09</v>
      </c>
      <c r="L836">
        <f t="shared" si="54"/>
        <v>2023</v>
      </c>
      <c r="M836" t="str">
        <f t="shared" si="55"/>
        <v>T3-2023</v>
      </c>
    </row>
    <row r="837" spans="1:13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 t="str">
        <f t="shared" si="52"/>
        <v>60+</v>
      </c>
      <c r="K837" t="str">
        <f t="shared" si="53"/>
        <v>miércoles-04</v>
      </c>
      <c r="L837">
        <f t="shared" si="54"/>
        <v>2023</v>
      </c>
      <c r="M837" t="str">
        <f t="shared" si="55"/>
        <v>T2-2023</v>
      </c>
    </row>
    <row r="838" spans="1:13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 t="str">
        <f t="shared" si="52"/>
        <v>60+</v>
      </c>
      <c r="K838" t="str">
        <f t="shared" si="53"/>
        <v>sábado-07</v>
      </c>
      <c r="L838">
        <f t="shared" si="54"/>
        <v>2023</v>
      </c>
      <c r="M838" t="str">
        <f t="shared" si="55"/>
        <v>T3-2023</v>
      </c>
    </row>
    <row r="839" spans="1:13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 t="str">
        <f t="shared" si="52"/>
        <v>60+</v>
      </c>
      <c r="K839" t="str">
        <f t="shared" si="53"/>
        <v>sábado-05</v>
      </c>
      <c r="L839">
        <f t="shared" si="54"/>
        <v>2023</v>
      </c>
      <c r="M839" t="str">
        <f t="shared" si="55"/>
        <v>T2-2023</v>
      </c>
    </row>
    <row r="840" spans="1:13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 t="str">
        <f t="shared" si="52"/>
        <v>60+</v>
      </c>
      <c r="K840" t="str">
        <f t="shared" si="53"/>
        <v>sábado-06</v>
      </c>
      <c r="L840">
        <f t="shared" si="54"/>
        <v>2023</v>
      </c>
      <c r="M840" t="str">
        <f t="shared" si="55"/>
        <v>T2-2023</v>
      </c>
    </row>
    <row r="841" spans="1:13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 t="str">
        <f t="shared" si="52"/>
        <v>60+</v>
      </c>
      <c r="K841" t="str">
        <f t="shared" si="53"/>
        <v>miércoles-05</v>
      </c>
      <c r="L841">
        <f t="shared" si="54"/>
        <v>2023</v>
      </c>
      <c r="M841" t="str">
        <f t="shared" si="55"/>
        <v>T2-2023</v>
      </c>
    </row>
    <row r="842" spans="1:13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 t="str">
        <f t="shared" si="52"/>
        <v>60+</v>
      </c>
      <c r="K842" t="str">
        <f t="shared" si="53"/>
        <v>jueves-11</v>
      </c>
      <c r="L842">
        <f t="shared" si="54"/>
        <v>2023</v>
      </c>
      <c r="M842" t="str">
        <f t="shared" si="55"/>
        <v>T4-2023</v>
      </c>
    </row>
    <row r="843" spans="1:13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 t="str">
        <f t="shared" si="52"/>
        <v>60+</v>
      </c>
      <c r="K843" t="str">
        <f t="shared" si="53"/>
        <v>martes-12</v>
      </c>
      <c r="L843">
        <f t="shared" si="54"/>
        <v>2023</v>
      </c>
      <c r="M843" t="str">
        <f t="shared" si="55"/>
        <v>T4-2023</v>
      </c>
    </row>
    <row r="844" spans="1:13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 t="str">
        <f t="shared" si="52"/>
        <v>60+</v>
      </c>
      <c r="K844" t="str">
        <f t="shared" si="53"/>
        <v>lunes-05</v>
      </c>
      <c r="L844">
        <f t="shared" si="54"/>
        <v>2023</v>
      </c>
      <c r="M844" t="str">
        <f t="shared" si="55"/>
        <v>T2-2023</v>
      </c>
    </row>
    <row r="845" spans="1:13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 t="str">
        <f t="shared" si="52"/>
        <v>60+</v>
      </c>
      <c r="K845" t="str">
        <f t="shared" si="53"/>
        <v>jueves-10</v>
      </c>
      <c r="L845">
        <f t="shared" si="54"/>
        <v>2023</v>
      </c>
      <c r="M845" t="str">
        <f t="shared" si="55"/>
        <v>T4-2023</v>
      </c>
    </row>
    <row r="846" spans="1:13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 t="str">
        <f t="shared" si="52"/>
        <v>60+</v>
      </c>
      <c r="K846" t="str">
        <f t="shared" si="53"/>
        <v>viernes-01</v>
      </c>
      <c r="L846">
        <f t="shared" si="54"/>
        <v>2023</v>
      </c>
      <c r="M846" t="str">
        <f t="shared" si="55"/>
        <v>T1-2023</v>
      </c>
    </row>
    <row r="847" spans="1:13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 t="str">
        <f t="shared" si="52"/>
        <v>60+</v>
      </c>
      <c r="K847" t="str">
        <f t="shared" si="53"/>
        <v>viernes-09</v>
      </c>
      <c r="L847">
        <f t="shared" si="54"/>
        <v>2023</v>
      </c>
      <c r="M847" t="str">
        <f t="shared" si="55"/>
        <v>T3-2023</v>
      </c>
    </row>
    <row r="848" spans="1:13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 t="str">
        <f t="shared" si="52"/>
        <v>60+</v>
      </c>
      <c r="K848" t="str">
        <f t="shared" si="53"/>
        <v>sábado-04</v>
      </c>
      <c r="L848">
        <f t="shared" si="54"/>
        <v>2023</v>
      </c>
      <c r="M848" t="str">
        <f t="shared" si="55"/>
        <v>T2-2023</v>
      </c>
    </row>
    <row r="849" spans="1:13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 t="str">
        <f t="shared" si="52"/>
        <v>60+</v>
      </c>
      <c r="K849" t="str">
        <f t="shared" si="53"/>
        <v>lunes-02</v>
      </c>
      <c r="L849">
        <f t="shared" si="54"/>
        <v>2023</v>
      </c>
      <c r="M849" t="str">
        <f t="shared" si="55"/>
        <v>T1-2023</v>
      </c>
    </row>
    <row r="850" spans="1:13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 t="str">
        <f t="shared" si="52"/>
        <v>60+</v>
      </c>
      <c r="K850" t="str">
        <f t="shared" si="53"/>
        <v>jueves-05</v>
      </c>
      <c r="L850">
        <f t="shared" si="54"/>
        <v>2023</v>
      </c>
      <c r="M850" t="str">
        <f t="shared" si="55"/>
        <v>T2-2023</v>
      </c>
    </row>
    <row r="851" spans="1:13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 t="str">
        <f t="shared" si="52"/>
        <v>60+</v>
      </c>
      <c r="K851" t="str">
        <f t="shared" si="53"/>
        <v>viernes-07</v>
      </c>
      <c r="L851">
        <f t="shared" si="54"/>
        <v>2023</v>
      </c>
      <c r="M851" t="str">
        <f t="shared" si="55"/>
        <v>T3-2023</v>
      </c>
    </row>
    <row r="852" spans="1:13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 t="str">
        <f t="shared" si="52"/>
        <v>60+</v>
      </c>
      <c r="K852" t="str">
        <f t="shared" si="53"/>
        <v>viernes-09</v>
      </c>
      <c r="L852">
        <f t="shared" si="54"/>
        <v>2023</v>
      </c>
      <c r="M852" t="str">
        <f t="shared" si="55"/>
        <v>T3-2023</v>
      </c>
    </row>
    <row r="853" spans="1:13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 t="str">
        <f t="shared" si="52"/>
        <v>60+</v>
      </c>
      <c r="K853" t="str">
        <f t="shared" si="53"/>
        <v>jueves-10</v>
      </c>
      <c r="L853">
        <f t="shared" si="54"/>
        <v>2023</v>
      </c>
      <c r="M853" t="str">
        <f t="shared" si="55"/>
        <v>T4-2023</v>
      </c>
    </row>
    <row r="854" spans="1:13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 t="str">
        <f t="shared" si="52"/>
        <v>60+</v>
      </c>
      <c r="K854" t="str">
        <f t="shared" si="53"/>
        <v>jueves-05</v>
      </c>
      <c r="L854">
        <f t="shared" si="54"/>
        <v>2023</v>
      </c>
      <c r="M854" t="str">
        <f t="shared" si="55"/>
        <v>T2-2023</v>
      </c>
    </row>
    <row r="855" spans="1:13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 t="str">
        <f t="shared" si="52"/>
        <v>60+</v>
      </c>
      <c r="K855" t="str">
        <f t="shared" si="53"/>
        <v>miércoles-12</v>
      </c>
      <c r="L855">
        <f t="shared" si="54"/>
        <v>2023</v>
      </c>
      <c r="M855" t="str">
        <f t="shared" si="55"/>
        <v>T4-2023</v>
      </c>
    </row>
    <row r="856" spans="1:13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 t="str">
        <f t="shared" si="52"/>
        <v>60+</v>
      </c>
      <c r="K856" t="str">
        <f t="shared" si="53"/>
        <v>viernes-09</v>
      </c>
      <c r="L856">
        <f t="shared" si="54"/>
        <v>2023</v>
      </c>
      <c r="M856" t="str">
        <f t="shared" si="55"/>
        <v>T3-2023</v>
      </c>
    </row>
    <row r="857" spans="1:13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 t="str">
        <f t="shared" si="52"/>
        <v>60+</v>
      </c>
      <c r="K857" t="str">
        <f t="shared" si="53"/>
        <v>lunes-11</v>
      </c>
      <c r="L857">
        <f t="shared" si="54"/>
        <v>2023</v>
      </c>
      <c r="M857" t="str">
        <f t="shared" si="55"/>
        <v>T4-2023</v>
      </c>
    </row>
    <row r="858" spans="1:13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 t="str">
        <f t="shared" si="52"/>
        <v>60+</v>
      </c>
      <c r="K858" t="str">
        <f t="shared" si="53"/>
        <v>domingo-12</v>
      </c>
      <c r="L858">
        <f t="shared" si="54"/>
        <v>2023</v>
      </c>
      <c r="M858" t="str">
        <f t="shared" si="55"/>
        <v>T4-2023</v>
      </c>
    </row>
    <row r="859" spans="1:13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 t="str">
        <f t="shared" si="52"/>
        <v>60+</v>
      </c>
      <c r="K859" t="str">
        <f t="shared" si="53"/>
        <v>sábado-09</v>
      </c>
      <c r="L859">
        <f t="shared" si="54"/>
        <v>2023</v>
      </c>
      <c r="M859" t="str">
        <f t="shared" si="55"/>
        <v>T3-2023</v>
      </c>
    </row>
    <row r="860" spans="1:13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 t="str">
        <f t="shared" si="52"/>
        <v>60+</v>
      </c>
      <c r="K860" t="str">
        <f t="shared" si="53"/>
        <v>viernes-08</v>
      </c>
      <c r="L860">
        <f t="shared" si="54"/>
        <v>2023</v>
      </c>
      <c r="M860" t="str">
        <f t="shared" si="55"/>
        <v>T3-2023</v>
      </c>
    </row>
    <row r="861" spans="1:13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 t="str">
        <f t="shared" si="52"/>
        <v>60+</v>
      </c>
      <c r="K861" t="str">
        <f t="shared" si="53"/>
        <v>lunes-01</v>
      </c>
      <c r="L861">
        <f t="shared" si="54"/>
        <v>2023</v>
      </c>
      <c r="M861" t="str">
        <f t="shared" si="55"/>
        <v>T1-2023</v>
      </c>
    </row>
    <row r="862" spans="1:13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 t="str">
        <f t="shared" si="52"/>
        <v>60+</v>
      </c>
      <c r="K862" t="str">
        <f t="shared" si="53"/>
        <v>viernes-02</v>
      </c>
      <c r="L862">
        <f t="shared" si="54"/>
        <v>2023</v>
      </c>
      <c r="M862" t="str">
        <f t="shared" si="55"/>
        <v>T1-2023</v>
      </c>
    </row>
    <row r="863" spans="1:13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 t="str">
        <f t="shared" si="52"/>
        <v>60+</v>
      </c>
      <c r="K863" t="str">
        <f t="shared" si="53"/>
        <v>miércoles-05</v>
      </c>
      <c r="L863">
        <f t="shared" si="54"/>
        <v>2023</v>
      </c>
      <c r="M863" t="str">
        <f t="shared" si="55"/>
        <v>T2-2023</v>
      </c>
    </row>
    <row r="864" spans="1:13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 t="str">
        <f t="shared" si="52"/>
        <v>60+</v>
      </c>
      <c r="K864" t="str">
        <f t="shared" si="53"/>
        <v>lunes-04</v>
      </c>
      <c r="L864">
        <f t="shared" si="54"/>
        <v>2023</v>
      </c>
      <c r="M864" t="str">
        <f t="shared" si="55"/>
        <v>T2-2023</v>
      </c>
    </row>
    <row r="865" spans="1:13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 t="str">
        <f t="shared" si="52"/>
        <v>60+</v>
      </c>
      <c r="K865" t="str">
        <f t="shared" si="53"/>
        <v>jueves-07</v>
      </c>
      <c r="L865">
        <f t="shared" si="54"/>
        <v>2023</v>
      </c>
      <c r="M865" t="str">
        <f t="shared" si="55"/>
        <v>T3-2023</v>
      </c>
    </row>
    <row r="866" spans="1:13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 t="str">
        <f t="shared" si="52"/>
        <v>60+</v>
      </c>
      <c r="K866" t="str">
        <f t="shared" si="53"/>
        <v>jueves-12</v>
      </c>
      <c r="L866">
        <f t="shared" si="54"/>
        <v>2023</v>
      </c>
      <c r="M866" t="str">
        <f t="shared" si="55"/>
        <v>T4-2023</v>
      </c>
    </row>
    <row r="867" spans="1:13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 t="str">
        <f t="shared" si="52"/>
        <v>60+</v>
      </c>
      <c r="K867" t="str">
        <f t="shared" si="53"/>
        <v>viernes-05</v>
      </c>
      <c r="L867">
        <f t="shared" si="54"/>
        <v>2023</v>
      </c>
      <c r="M867" t="str">
        <f t="shared" si="55"/>
        <v>T2-2023</v>
      </c>
    </row>
    <row r="868" spans="1:13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 t="str">
        <f t="shared" si="52"/>
        <v>60+</v>
      </c>
      <c r="K868" t="str">
        <f t="shared" si="53"/>
        <v>martes-06</v>
      </c>
      <c r="L868">
        <f t="shared" si="54"/>
        <v>2023</v>
      </c>
      <c r="M868" t="str">
        <f t="shared" si="55"/>
        <v>T2-2023</v>
      </c>
    </row>
    <row r="869" spans="1:13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 t="str">
        <f t="shared" si="52"/>
        <v>60+</v>
      </c>
      <c r="K869" t="str">
        <f t="shared" si="53"/>
        <v>miércoles-12</v>
      </c>
      <c r="L869">
        <f t="shared" si="54"/>
        <v>2023</v>
      </c>
      <c r="M869" t="str">
        <f t="shared" si="55"/>
        <v>T4-2023</v>
      </c>
    </row>
    <row r="870" spans="1:13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 t="str">
        <f t="shared" si="52"/>
        <v>60+</v>
      </c>
      <c r="K870" t="str">
        <f t="shared" si="53"/>
        <v>miércoles-10</v>
      </c>
      <c r="L870">
        <f t="shared" si="54"/>
        <v>2023</v>
      </c>
      <c r="M870" t="str">
        <f t="shared" si="55"/>
        <v>T4-2023</v>
      </c>
    </row>
    <row r="871" spans="1:13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 t="str">
        <f t="shared" si="52"/>
        <v>60+</v>
      </c>
      <c r="K871" t="str">
        <f t="shared" si="53"/>
        <v>sábado-07</v>
      </c>
      <c r="L871">
        <f t="shared" si="54"/>
        <v>2023</v>
      </c>
      <c r="M871" t="str">
        <f t="shared" si="55"/>
        <v>T3-2023</v>
      </c>
    </row>
    <row r="872" spans="1:13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 t="str">
        <f t="shared" si="52"/>
        <v>60+</v>
      </c>
      <c r="K872" t="str">
        <f t="shared" si="53"/>
        <v>jueves-08</v>
      </c>
      <c r="L872">
        <f t="shared" si="54"/>
        <v>2023</v>
      </c>
      <c r="M872" t="str">
        <f t="shared" si="55"/>
        <v>T3-2023</v>
      </c>
    </row>
    <row r="873" spans="1:13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 t="str">
        <f t="shared" si="52"/>
        <v>60+</v>
      </c>
      <c r="K873" t="str">
        <f t="shared" si="53"/>
        <v>miércoles-10</v>
      </c>
      <c r="L873">
        <f t="shared" si="54"/>
        <v>2023</v>
      </c>
      <c r="M873" t="str">
        <f t="shared" si="55"/>
        <v>T4-2023</v>
      </c>
    </row>
    <row r="874" spans="1:13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 t="str">
        <f t="shared" si="52"/>
        <v>60+</v>
      </c>
      <c r="K874" t="str">
        <f t="shared" si="53"/>
        <v>viernes-09</v>
      </c>
      <c r="L874">
        <f t="shared" si="54"/>
        <v>2023</v>
      </c>
      <c r="M874" t="str">
        <f t="shared" si="55"/>
        <v>T3-2023</v>
      </c>
    </row>
    <row r="875" spans="1:13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 t="str">
        <f t="shared" si="52"/>
        <v>60+</v>
      </c>
      <c r="K875" t="str">
        <f t="shared" si="53"/>
        <v>lunes-06</v>
      </c>
      <c r="L875">
        <f t="shared" si="54"/>
        <v>2023</v>
      </c>
      <c r="M875" t="str">
        <f t="shared" si="55"/>
        <v>T2-2023</v>
      </c>
    </row>
    <row r="876" spans="1:13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 t="str">
        <f t="shared" si="52"/>
        <v>60+</v>
      </c>
      <c r="K876" t="str">
        <f t="shared" si="53"/>
        <v>domingo-08</v>
      </c>
      <c r="L876">
        <f t="shared" si="54"/>
        <v>2023</v>
      </c>
      <c r="M876" t="str">
        <f t="shared" si="55"/>
        <v>T3-2023</v>
      </c>
    </row>
    <row r="877" spans="1:13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 t="str">
        <f t="shared" si="52"/>
        <v>60+</v>
      </c>
      <c r="K877" t="str">
        <f t="shared" si="53"/>
        <v>lunes-10</v>
      </c>
      <c r="L877">
        <f t="shared" si="54"/>
        <v>2023</v>
      </c>
      <c r="M877" t="str">
        <f t="shared" si="55"/>
        <v>T4-2023</v>
      </c>
    </row>
    <row r="878" spans="1:13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 t="str">
        <f t="shared" si="52"/>
        <v>60+</v>
      </c>
      <c r="K878" t="str">
        <f t="shared" si="53"/>
        <v>lunes-06</v>
      </c>
      <c r="L878">
        <f t="shared" si="54"/>
        <v>2023</v>
      </c>
      <c r="M878" t="str">
        <f t="shared" si="55"/>
        <v>T2-2023</v>
      </c>
    </row>
    <row r="879" spans="1:13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 t="str">
        <f t="shared" si="52"/>
        <v>60+</v>
      </c>
      <c r="K879" t="str">
        <f t="shared" si="53"/>
        <v>viernes-06</v>
      </c>
      <c r="L879">
        <f t="shared" si="54"/>
        <v>2023</v>
      </c>
      <c r="M879" t="str">
        <f t="shared" si="55"/>
        <v>T2-2023</v>
      </c>
    </row>
    <row r="880" spans="1:13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 t="str">
        <f t="shared" si="52"/>
        <v>60+</v>
      </c>
      <c r="K880" t="str">
        <f t="shared" si="53"/>
        <v>martes-12</v>
      </c>
      <c r="L880">
        <f t="shared" si="54"/>
        <v>2023</v>
      </c>
      <c r="M880" t="str">
        <f t="shared" si="55"/>
        <v>T4-2023</v>
      </c>
    </row>
    <row r="881" spans="1:13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 t="str">
        <f t="shared" si="52"/>
        <v>60+</v>
      </c>
      <c r="K881" t="str">
        <f t="shared" si="53"/>
        <v>lunes-08</v>
      </c>
      <c r="L881">
        <f t="shared" si="54"/>
        <v>2023</v>
      </c>
      <c r="M881" t="str">
        <f t="shared" si="55"/>
        <v>T3-2023</v>
      </c>
    </row>
    <row r="882" spans="1:13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 t="str">
        <f t="shared" si="52"/>
        <v>60+</v>
      </c>
      <c r="K882" t="str">
        <f t="shared" si="53"/>
        <v>viernes-05</v>
      </c>
      <c r="L882">
        <f t="shared" si="54"/>
        <v>2023</v>
      </c>
      <c r="M882" t="str">
        <f t="shared" si="55"/>
        <v>T2-2023</v>
      </c>
    </row>
    <row r="883" spans="1:13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 t="str">
        <f t="shared" si="52"/>
        <v>60+</v>
      </c>
      <c r="K883" t="str">
        <f t="shared" si="53"/>
        <v>martes-06</v>
      </c>
      <c r="L883">
        <f t="shared" si="54"/>
        <v>2023</v>
      </c>
      <c r="M883" t="str">
        <f t="shared" si="55"/>
        <v>T2-2023</v>
      </c>
    </row>
    <row r="884" spans="1:13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 t="str">
        <f t="shared" si="52"/>
        <v>60+</v>
      </c>
      <c r="K884" t="str">
        <f t="shared" si="53"/>
        <v>martes-05</v>
      </c>
      <c r="L884">
        <f t="shared" si="54"/>
        <v>2023</v>
      </c>
      <c r="M884" t="str">
        <f t="shared" si="55"/>
        <v>T2-2023</v>
      </c>
    </row>
    <row r="885" spans="1:13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 t="str">
        <f t="shared" si="52"/>
        <v>60+</v>
      </c>
      <c r="K885" t="str">
        <f t="shared" si="53"/>
        <v>sábado-04</v>
      </c>
      <c r="L885">
        <f t="shared" si="54"/>
        <v>2023</v>
      </c>
      <c r="M885" t="str">
        <f t="shared" si="55"/>
        <v>T2-2023</v>
      </c>
    </row>
    <row r="886" spans="1:13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 t="str">
        <f t="shared" si="52"/>
        <v>60+</v>
      </c>
      <c r="K886" t="str">
        <f t="shared" si="53"/>
        <v>viernes-03</v>
      </c>
      <c r="L886">
        <f t="shared" si="54"/>
        <v>2023</v>
      </c>
      <c r="M886" t="str">
        <f t="shared" si="55"/>
        <v>T1-2023</v>
      </c>
    </row>
    <row r="887" spans="1:13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 t="str">
        <f t="shared" si="52"/>
        <v>60+</v>
      </c>
      <c r="K887" t="str">
        <f t="shared" si="53"/>
        <v>domingo-04</v>
      </c>
      <c r="L887">
        <f t="shared" si="54"/>
        <v>2023</v>
      </c>
      <c r="M887" t="str">
        <f t="shared" si="55"/>
        <v>T2-2023</v>
      </c>
    </row>
    <row r="888" spans="1:13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 t="str">
        <f t="shared" si="52"/>
        <v>60+</v>
      </c>
      <c r="K888" t="str">
        <f t="shared" si="53"/>
        <v>domingo-06</v>
      </c>
      <c r="L888">
        <f t="shared" si="54"/>
        <v>2023</v>
      </c>
      <c r="M888" t="str">
        <f t="shared" si="55"/>
        <v>T2-2023</v>
      </c>
    </row>
    <row r="889" spans="1:13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 t="str">
        <f t="shared" si="52"/>
        <v>60+</v>
      </c>
      <c r="K889" t="str">
        <f t="shared" si="53"/>
        <v>viernes-03</v>
      </c>
      <c r="L889">
        <f t="shared" si="54"/>
        <v>2023</v>
      </c>
      <c r="M889" t="str">
        <f t="shared" si="55"/>
        <v>T1-2023</v>
      </c>
    </row>
    <row r="890" spans="1:13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 t="str">
        <f t="shared" si="52"/>
        <v>60+</v>
      </c>
      <c r="K890" t="str">
        <f t="shared" si="53"/>
        <v>lunes-10</v>
      </c>
      <c r="L890">
        <f t="shared" si="54"/>
        <v>2023</v>
      </c>
      <c r="M890" t="str">
        <f t="shared" si="55"/>
        <v>T4-2023</v>
      </c>
    </row>
    <row r="891" spans="1:13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 t="str">
        <f t="shared" si="52"/>
        <v>60+</v>
      </c>
      <c r="K891" t="str">
        <f t="shared" si="53"/>
        <v>miércoles-12</v>
      </c>
      <c r="L891">
        <f t="shared" si="54"/>
        <v>2023</v>
      </c>
      <c r="M891" t="str">
        <f t="shared" si="55"/>
        <v>T4-2023</v>
      </c>
    </row>
    <row r="892" spans="1:13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 t="str">
        <f t="shared" si="52"/>
        <v>60+</v>
      </c>
      <c r="K892" t="str">
        <f t="shared" si="53"/>
        <v>miércoles-04</v>
      </c>
      <c r="L892">
        <f t="shared" si="54"/>
        <v>2023</v>
      </c>
      <c r="M892" t="str">
        <f t="shared" si="55"/>
        <v>T2-2023</v>
      </c>
    </row>
    <row r="893" spans="1:13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 t="str">
        <f t="shared" si="52"/>
        <v>60+</v>
      </c>
      <c r="K893" t="str">
        <f t="shared" si="53"/>
        <v>domingo-04</v>
      </c>
      <c r="L893">
        <f t="shared" si="54"/>
        <v>2023</v>
      </c>
      <c r="M893" t="str">
        <f t="shared" si="55"/>
        <v>T2-2023</v>
      </c>
    </row>
    <row r="894" spans="1:13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 t="str">
        <f t="shared" si="52"/>
        <v>60+</v>
      </c>
      <c r="K894" t="str">
        <f t="shared" si="53"/>
        <v>viernes-04</v>
      </c>
      <c r="L894">
        <f t="shared" si="54"/>
        <v>2023</v>
      </c>
      <c r="M894" t="str">
        <f t="shared" si="55"/>
        <v>T2-2023</v>
      </c>
    </row>
    <row r="895" spans="1:13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 t="str">
        <f t="shared" si="52"/>
        <v>60+</v>
      </c>
      <c r="K895" t="str">
        <f t="shared" si="53"/>
        <v>martes-09</v>
      </c>
      <c r="L895">
        <f t="shared" si="54"/>
        <v>2023</v>
      </c>
      <c r="M895" t="str">
        <f t="shared" si="55"/>
        <v>T3-2023</v>
      </c>
    </row>
    <row r="896" spans="1:13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 t="str">
        <f t="shared" si="52"/>
        <v>60+</v>
      </c>
      <c r="K896" t="str">
        <f t="shared" si="53"/>
        <v>lunes-05</v>
      </c>
      <c r="L896">
        <f t="shared" si="54"/>
        <v>2023</v>
      </c>
      <c r="M896" t="str">
        <f t="shared" si="55"/>
        <v>T2-2023</v>
      </c>
    </row>
    <row r="897" spans="1:13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 t="str">
        <f t="shared" si="52"/>
        <v>60+</v>
      </c>
      <c r="K897" t="str">
        <f t="shared" si="53"/>
        <v>domingo-10</v>
      </c>
      <c r="L897">
        <f t="shared" si="54"/>
        <v>2023</v>
      </c>
      <c r="M897" t="str">
        <f t="shared" si="55"/>
        <v>T4-2023</v>
      </c>
    </row>
    <row r="898" spans="1:13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 t="str">
        <f t="shared" si="52"/>
        <v>60+</v>
      </c>
      <c r="K898" t="str">
        <f t="shared" si="53"/>
        <v>martes-09</v>
      </c>
      <c r="L898">
        <f t="shared" si="54"/>
        <v>2023</v>
      </c>
      <c r="M898" t="str">
        <f t="shared" si="55"/>
        <v>T3-2023</v>
      </c>
    </row>
    <row r="899" spans="1:13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 t="str">
        <f t="shared" ref="J899:J962" si="56">IF(D899&lt;30,"18-29",IF(D899&lt;45,"30-44",IF(D899&lt;60,"45-59","60+")))</f>
        <v>60+</v>
      </c>
      <c r="K899" t="str">
        <f t="shared" ref="K899:K962" si="57">TEXT(B899,"AAAA-MM")</f>
        <v>jueves-11</v>
      </c>
      <c r="L899">
        <f t="shared" ref="L899:L962" si="58">YEAR(B899)</f>
        <v>2023</v>
      </c>
      <c r="M899" t="str">
        <f t="shared" ref="M899:M962" si="59">"T"&amp;INT((MONTH(B899)-1)/3+1)&amp;"-"&amp;YEAR(B899)</f>
        <v>T4-2023</v>
      </c>
    </row>
    <row r="900" spans="1:13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 t="str">
        <f t="shared" si="56"/>
        <v>60+</v>
      </c>
      <c r="K900" t="str">
        <f t="shared" si="57"/>
        <v>jueves-05</v>
      </c>
      <c r="L900">
        <f t="shared" si="58"/>
        <v>2023</v>
      </c>
      <c r="M900" t="str">
        <f t="shared" si="59"/>
        <v>T2-2023</v>
      </c>
    </row>
    <row r="901" spans="1:13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 t="str">
        <f t="shared" si="56"/>
        <v>60+</v>
      </c>
      <c r="K901" t="str">
        <f t="shared" si="57"/>
        <v>martes-02</v>
      </c>
      <c r="L901">
        <f t="shared" si="58"/>
        <v>2023</v>
      </c>
      <c r="M901" t="str">
        <f t="shared" si="59"/>
        <v>T1-2023</v>
      </c>
    </row>
    <row r="902" spans="1:13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 t="str">
        <f t="shared" si="56"/>
        <v>60+</v>
      </c>
      <c r="K902" t="str">
        <f t="shared" si="57"/>
        <v>lunes-04</v>
      </c>
      <c r="L902">
        <f t="shared" si="58"/>
        <v>2023</v>
      </c>
      <c r="M902" t="str">
        <f t="shared" si="59"/>
        <v>T2-2023</v>
      </c>
    </row>
    <row r="903" spans="1:13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 t="str">
        <f t="shared" si="56"/>
        <v>60+</v>
      </c>
      <c r="K903" t="str">
        <f t="shared" si="57"/>
        <v>jueves-06</v>
      </c>
      <c r="L903">
        <f t="shared" si="58"/>
        <v>2023</v>
      </c>
      <c r="M903" t="str">
        <f t="shared" si="59"/>
        <v>T2-2023</v>
      </c>
    </row>
    <row r="904" spans="1:13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 t="str">
        <f t="shared" si="56"/>
        <v>60+</v>
      </c>
      <c r="K904" t="str">
        <f t="shared" si="57"/>
        <v>jueves-04</v>
      </c>
      <c r="L904">
        <f t="shared" si="58"/>
        <v>2023</v>
      </c>
      <c r="M904" t="str">
        <f t="shared" si="59"/>
        <v>T2-2023</v>
      </c>
    </row>
    <row r="905" spans="1:13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 t="str">
        <f t="shared" si="56"/>
        <v>60+</v>
      </c>
      <c r="K905" t="str">
        <f t="shared" si="57"/>
        <v>martes-07</v>
      </c>
      <c r="L905">
        <f t="shared" si="58"/>
        <v>2023</v>
      </c>
      <c r="M905" t="str">
        <f t="shared" si="59"/>
        <v>T3-2023</v>
      </c>
    </row>
    <row r="906" spans="1:13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 t="str">
        <f t="shared" si="56"/>
        <v>60+</v>
      </c>
      <c r="K906" t="str">
        <f t="shared" si="57"/>
        <v>domingo-04</v>
      </c>
      <c r="L906">
        <f t="shared" si="58"/>
        <v>2023</v>
      </c>
      <c r="M906" t="str">
        <f t="shared" si="59"/>
        <v>T2-2023</v>
      </c>
    </row>
    <row r="907" spans="1:13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 t="str">
        <f t="shared" si="56"/>
        <v>60+</v>
      </c>
      <c r="K907" t="str">
        <f t="shared" si="57"/>
        <v>domingo-06</v>
      </c>
      <c r="L907">
        <f t="shared" si="58"/>
        <v>2023</v>
      </c>
      <c r="M907" t="str">
        <f t="shared" si="59"/>
        <v>T2-2023</v>
      </c>
    </row>
    <row r="908" spans="1:13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 t="str">
        <f t="shared" si="56"/>
        <v>60+</v>
      </c>
      <c r="K908" t="str">
        <f t="shared" si="57"/>
        <v>domingo-01</v>
      </c>
      <c r="L908">
        <f t="shared" si="58"/>
        <v>2023</v>
      </c>
      <c r="M908" t="str">
        <f t="shared" si="59"/>
        <v>T1-2023</v>
      </c>
    </row>
    <row r="909" spans="1:13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 t="str">
        <f t="shared" si="56"/>
        <v>60+</v>
      </c>
      <c r="K909" t="str">
        <f t="shared" si="57"/>
        <v>viernes-12</v>
      </c>
      <c r="L909">
        <f t="shared" si="58"/>
        <v>2023</v>
      </c>
      <c r="M909" t="str">
        <f t="shared" si="59"/>
        <v>T4-2023</v>
      </c>
    </row>
    <row r="910" spans="1:13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 t="str">
        <f t="shared" si="56"/>
        <v>60+</v>
      </c>
      <c r="K910" t="str">
        <f t="shared" si="57"/>
        <v>domingo-10</v>
      </c>
      <c r="L910">
        <f t="shared" si="58"/>
        <v>2023</v>
      </c>
      <c r="M910" t="str">
        <f t="shared" si="59"/>
        <v>T4-2023</v>
      </c>
    </row>
    <row r="911" spans="1:13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 t="str">
        <f t="shared" si="56"/>
        <v>60+</v>
      </c>
      <c r="K911" t="str">
        <f t="shared" si="57"/>
        <v>lunes-03</v>
      </c>
      <c r="L911">
        <f t="shared" si="58"/>
        <v>2023</v>
      </c>
      <c r="M911" t="str">
        <f t="shared" si="59"/>
        <v>T1-2023</v>
      </c>
    </row>
    <row r="912" spans="1:13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 t="str">
        <f t="shared" si="56"/>
        <v>60+</v>
      </c>
      <c r="K912" t="str">
        <f t="shared" si="57"/>
        <v>domingo-05</v>
      </c>
      <c r="L912">
        <f t="shared" si="58"/>
        <v>2023</v>
      </c>
      <c r="M912" t="str">
        <f t="shared" si="59"/>
        <v>T2-2023</v>
      </c>
    </row>
    <row r="913" spans="1:13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 t="str">
        <f t="shared" si="56"/>
        <v>60+</v>
      </c>
      <c r="K913" t="str">
        <f t="shared" si="57"/>
        <v>martes-01</v>
      </c>
      <c r="L913">
        <f t="shared" si="58"/>
        <v>2023</v>
      </c>
      <c r="M913" t="str">
        <f t="shared" si="59"/>
        <v>T1-2023</v>
      </c>
    </row>
    <row r="914" spans="1:13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 t="str">
        <f t="shared" si="56"/>
        <v>60+</v>
      </c>
      <c r="K914" t="str">
        <f t="shared" si="57"/>
        <v>sábado-01</v>
      </c>
      <c r="L914">
        <f t="shared" si="58"/>
        <v>2023</v>
      </c>
      <c r="M914" t="str">
        <f t="shared" si="59"/>
        <v>T1-2023</v>
      </c>
    </row>
    <row r="915" spans="1:13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 t="str">
        <f t="shared" si="56"/>
        <v>60+</v>
      </c>
      <c r="K915" t="str">
        <f t="shared" si="57"/>
        <v>miércoles-10</v>
      </c>
      <c r="L915">
        <f t="shared" si="58"/>
        <v>2023</v>
      </c>
      <c r="M915" t="str">
        <f t="shared" si="59"/>
        <v>T4-2023</v>
      </c>
    </row>
    <row r="916" spans="1:13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 t="str">
        <f t="shared" si="56"/>
        <v>60+</v>
      </c>
      <c r="K916" t="str">
        <f t="shared" si="57"/>
        <v>martes-05</v>
      </c>
      <c r="L916">
        <f t="shared" si="58"/>
        <v>2023</v>
      </c>
      <c r="M916" t="str">
        <f t="shared" si="59"/>
        <v>T2-2023</v>
      </c>
    </row>
    <row r="917" spans="1:13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 t="str">
        <f t="shared" si="56"/>
        <v>60+</v>
      </c>
      <c r="K917" t="str">
        <f t="shared" si="57"/>
        <v>domingo-12</v>
      </c>
      <c r="L917">
        <f t="shared" si="58"/>
        <v>2023</v>
      </c>
      <c r="M917" t="str">
        <f t="shared" si="59"/>
        <v>T4-2023</v>
      </c>
    </row>
    <row r="918" spans="1:13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 t="str">
        <f t="shared" si="56"/>
        <v>60+</v>
      </c>
      <c r="K918" t="str">
        <f t="shared" si="57"/>
        <v>lunes-03</v>
      </c>
      <c r="L918">
        <f t="shared" si="58"/>
        <v>2023</v>
      </c>
      <c r="M918" t="str">
        <f t="shared" si="59"/>
        <v>T1-2023</v>
      </c>
    </row>
    <row r="919" spans="1:13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 t="str">
        <f t="shared" si="56"/>
        <v>60+</v>
      </c>
      <c r="K919" t="str">
        <f t="shared" si="57"/>
        <v>jueves-11</v>
      </c>
      <c r="L919">
        <f t="shared" si="58"/>
        <v>2023</v>
      </c>
      <c r="M919" t="str">
        <f t="shared" si="59"/>
        <v>T4-2023</v>
      </c>
    </row>
    <row r="920" spans="1:13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 t="str">
        <f t="shared" si="56"/>
        <v>60+</v>
      </c>
      <c r="K920" t="str">
        <f t="shared" si="57"/>
        <v>sábado-09</v>
      </c>
      <c r="L920">
        <f t="shared" si="58"/>
        <v>2023</v>
      </c>
      <c r="M920" t="str">
        <f t="shared" si="59"/>
        <v>T3-2023</v>
      </c>
    </row>
    <row r="921" spans="1:13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 t="str">
        <f t="shared" si="56"/>
        <v>60+</v>
      </c>
      <c r="K921" t="str">
        <f t="shared" si="57"/>
        <v>miércoles-02</v>
      </c>
      <c r="L921">
        <f t="shared" si="58"/>
        <v>2023</v>
      </c>
      <c r="M921" t="str">
        <f t="shared" si="59"/>
        <v>T1-2023</v>
      </c>
    </row>
    <row r="922" spans="1:13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 t="str">
        <f t="shared" si="56"/>
        <v>60+</v>
      </c>
      <c r="K922" t="str">
        <f t="shared" si="57"/>
        <v>sábado-01</v>
      </c>
      <c r="L922">
        <f t="shared" si="58"/>
        <v>2023</v>
      </c>
      <c r="M922" t="str">
        <f t="shared" si="59"/>
        <v>T1-2023</v>
      </c>
    </row>
    <row r="923" spans="1:13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 t="str">
        <f t="shared" si="56"/>
        <v>60+</v>
      </c>
      <c r="K923" t="str">
        <f t="shared" si="57"/>
        <v>sábado-10</v>
      </c>
      <c r="L923">
        <f t="shared" si="58"/>
        <v>2023</v>
      </c>
      <c r="M923" t="str">
        <f t="shared" si="59"/>
        <v>T4-2023</v>
      </c>
    </row>
    <row r="924" spans="1:13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 t="str">
        <f t="shared" si="56"/>
        <v>60+</v>
      </c>
      <c r="K924" t="str">
        <f t="shared" si="57"/>
        <v>viernes-05</v>
      </c>
      <c r="L924">
        <f t="shared" si="58"/>
        <v>2023</v>
      </c>
      <c r="M924" t="str">
        <f t="shared" si="59"/>
        <v>T2-2023</v>
      </c>
    </row>
    <row r="925" spans="1:13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 t="str">
        <f t="shared" si="56"/>
        <v>60+</v>
      </c>
      <c r="K925" t="str">
        <f t="shared" si="57"/>
        <v>martes-08</v>
      </c>
      <c r="L925">
        <f t="shared" si="58"/>
        <v>2023</v>
      </c>
      <c r="M925" t="str">
        <f t="shared" si="59"/>
        <v>T3-2023</v>
      </c>
    </row>
    <row r="926" spans="1:13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 t="str">
        <f t="shared" si="56"/>
        <v>60+</v>
      </c>
      <c r="K926" t="str">
        <f t="shared" si="57"/>
        <v>domingo-09</v>
      </c>
      <c r="L926">
        <f t="shared" si="58"/>
        <v>2023</v>
      </c>
      <c r="M926" t="str">
        <f t="shared" si="59"/>
        <v>T3-2023</v>
      </c>
    </row>
    <row r="927" spans="1:13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 t="str">
        <f t="shared" si="56"/>
        <v>60+</v>
      </c>
      <c r="K927" t="str">
        <f t="shared" si="57"/>
        <v>lunes-08</v>
      </c>
      <c r="L927">
        <f t="shared" si="58"/>
        <v>2023</v>
      </c>
      <c r="M927" t="str">
        <f t="shared" si="59"/>
        <v>T3-2023</v>
      </c>
    </row>
    <row r="928" spans="1:13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 t="str">
        <f t="shared" si="56"/>
        <v>60+</v>
      </c>
      <c r="K928" t="str">
        <f t="shared" si="57"/>
        <v>sábado-06</v>
      </c>
      <c r="L928">
        <f t="shared" si="58"/>
        <v>2023</v>
      </c>
      <c r="M928" t="str">
        <f t="shared" si="59"/>
        <v>T2-2023</v>
      </c>
    </row>
    <row r="929" spans="1:13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 t="str">
        <f t="shared" si="56"/>
        <v>60+</v>
      </c>
      <c r="K929" t="str">
        <f t="shared" si="57"/>
        <v>miércoles-04</v>
      </c>
      <c r="L929">
        <f t="shared" si="58"/>
        <v>2023</v>
      </c>
      <c r="M929" t="str">
        <f t="shared" si="59"/>
        <v>T2-2023</v>
      </c>
    </row>
    <row r="930" spans="1:13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 t="str">
        <f t="shared" si="56"/>
        <v>60+</v>
      </c>
      <c r="K930" t="str">
        <f t="shared" si="57"/>
        <v>viernes-01</v>
      </c>
      <c r="L930">
        <f t="shared" si="58"/>
        <v>2023</v>
      </c>
      <c r="M930" t="str">
        <f t="shared" si="59"/>
        <v>T1-2023</v>
      </c>
    </row>
    <row r="931" spans="1:13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 t="str">
        <f t="shared" si="56"/>
        <v>60+</v>
      </c>
      <c r="K931" t="str">
        <f t="shared" si="57"/>
        <v>miércoles-05</v>
      </c>
      <c r="L931">
        <f t="shared" si="58"/>
        <v>2023</v>
      </c>
      <c r="M931" t="str">
        <f t="shared" si="59"/>
        <v>T2-2023</v>
      </c>
    </row>
    <row r="932" spans="1:13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 t="str">
        <f t="shared" si="56"/>
        <v>60+</v>
      </c>
      <c r="K932" t="str">
        <f t="shared" si="57"/>
        <v>sábado-09</v>
      </c>
      <c r="L932">
        <f t="shared" si="58"/>
        <v>2023</v>
      </c>
      <c r="M932" t="str">
        <f t="shared" si="59"/>
        <v>T3-2023</v>
      </c>
    </row>
    <row r="933" spans="1:13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 t="str">
        <f t="shared" si="56"/>
        <v>60+</v>
      </c>
      <c r="K933" t="str">
        <f t="shared" si="57"/>
        <v>martes-02</v>
      </c>
      <c r="L933">
        <f t="shared" si="58"/>
        <v>2023</v>
      </c>
      <c r="M933" t="str">
        <f t="shared" si="59"/>
        <v>T1-2023</v>
      </c>
    </row>
    <row r="934" spans="1:13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 t="str">
        <f t="shared" si="56"/>
        <v>60+</v>
      </c>
      <c r="K934" t="str">
        <f t="shared" si="57"/>
        <v>viernes-02</v>
      </c>
      <c r="L934">
        <f t="shared" si="58"/>
        <v>2023</v>
      </c>
      <c r="M934" t="str">
        <f t="shared" si="59"/>
        <v>T1-2023</v>
      </c>
    </row>
    <row r="935" spans="1:13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 t="str">
        <f t="shared" si="56"/>
        <v>60+</v>
      </c>
      <c r="K935" t="str">
        <f t="shared" si="57"/>
        <v>martes-07</v>
      </c>
      <c r="L935">
        <f t="shared" si="58"/>
        <v>2023</v>
      </c>
      <c r="M935" t="str">
        <f t="shared" si="59"/>
        <v>T3-2023</v>
      </c>
    </row>
    <row r="936" spans="1:13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 t="str">
        <f t="shared" si="56"/>
        <v>60+</v>
      </c>
      <c r="K936" t="str">
        <f t="shared" si="57"/>
        <v>sábado-09</v>
      </c>
      <c r="L936">
        <f t="shared" si="58"/>
        <v>2023</v>
      </c>
      <c r="M936" t="str">
        <f t="shared" si="59"/>
        <v>T3-2023</v>
      </c>
    </row>
    <row r="937" spans="1:13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 t="str">
        <f t="shared" si="56"/>
        <v>60+</v>
      </c>
      <c r="K937" t="str">
        <f t="shared" si="57"/>
        <v>martes-02</v>
      </c>
      <c r="L937">
        <f t="shared" si="58"/>
        <v>2023</v>
      </c>
      <c r="M937" t="str">
        <f t="shared" si="59"/>
        <v>T1-2023</v>
      </c>
    </row>
    <row r="938" spans="1:13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 t="str">
        <f t="shared" si="56"/>
        <v>60+</v>
      </c>
      <c r="K938" t="str">
        <f t="shared" si="57"/>
        <v>lunes-10</v>
      </c>
      <c r="L938">
        <f t="shared" si="58"/>
        <v>2023</v>
      </c>
      <c r="M938" t="str">
        <f t="shared" si="59"/>
        <v>T4-2023</v>
      </c>
    </row>
    <row r="939" spans="1:13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 t="str">
        <f t="shared" si="56"/>
        <v>60+</v>
      </c>
      <c r="K939" t="str">
        <f t="shared" si="57"/>
        <v>domingo-11</v>
      </c>
      <c r="L939">
        <f t="shared" si="58"/>
        <v>2023</v>
      </c>
      <c r="M939" t="str">
        <f t="shared" si="59"/>
        <v>T4-2023</v>
      </c>
    </row>
    <row r="940" spans="1:13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 t="str">
        <f t="shared" si="56"/>
        <v>60+</v>
      </c>
      <c r="K940" t="str">
        <f t="shared" si="57"/>
        <v>lunes-12</v>
      </c>
      <c r="L940">
        <f t="shared" si="58"/>
        <v>2023</v>
      </c>
      <c r="M940" t="str">
        <f t="shared" si="59"/>
        <v>T4-2023</v>
      </c>
    </row>
    <row r="941" spans="1:13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 t="str">
        <f t="shared" si="56"/>
        <v>60+</v>
      </c>
      <c r="K941" t="str">
        <f t="shared" si="57"/>
        <v>sábado-01</v>
      </c>
      <c r="L941">
        <f t="shared" si="58"/>
        <v>2023</v>
      </c>
      <c r="M941" t="str">
        <f t="shared" si="59"/>
        <v>T1-2023</v>
      </c>
    </row>
    <row r="942" spans="1:13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 t="str">
        <f t="shared" si="56"/>
        <v>60+</v>
      </c>
      <c r="K942" t="str">
        <f t="shared" si="57"/>
        <v>domingo-03</v>
      </c>
      <c r="L942">
        <f t="shared" si="58"/>
        <v>2023</v>
      </c>
      <c r="M942" t="str">
        <f t="shared" si="59"/>
        <v>T1-2023</v>
      </c>
    </row>
    <row r="943" spans="1:13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 t="str">
        <f t="shared" si="56"/>
        <v>60+</v>
      </c>
      <c r="K943" t="str">
        <f t="shared" si="57"/>
        <v>sábado-03</v>
      </c>
      <c r="L943">
        <f t="shared" si="58"/>
        <v>2023</v>
      </c>
      <c r="M943" t="str">
        <f t="shared" si="59"/>
        <v>T1-2023</v>
      </c>
    </row>
    <row r="944" spans="1:13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 t="str">
        <f t="shared" si="56"/>
        <v>60+</v>
      </c>
      <c r="K944" t="str">
        <f t="shared" si="57"/>
        <v>lunes-10</v>
      </c>
      <c r="L944">
        <f t="shared" si="58"/>
        <v>2023</v>
      </c>
      <c r="M944" t="str">
        <f t="shared" si="59"/>
        <v>T4-2023</v>
      </c>
    </row>
    <row r="945" spans="1:13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 t="str">
        <f t="shared" si="56"/>
        <v>60+</v>
      </c>
      <c r="K945" t="str">
        <f t="shared" si="57"/>
        <v>lunes-06</v>
      </c>
      <c r="L945">
        <f t="shared" si="58"/>
        <v>2023</v>
      </c>
      <c r="M945" t="str">
        <f t="shared" si="59"/>
        <v>T2-2023</v>
      </c>
    </row>
    <row r="946" spans="1:13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 t="str">
        <f t="shared" si="56"/>
        <v>60+</v>
      </c>
      <c r="K946" t="str">
        <f t="shared" si="57"/>
        <v>lunes-02</v>
      </c>
      <c r="L946">
        <f t="shared" si="58"/>
        <v>2023</v>
      </c>
      <c r="M946" t="str">
        <f t="shared" si="59"/>
        <v>T1-2023</v>
      </c>
    </row>
    <row r="947" spans="1:13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 t="str">
        <f t="shared" si="56"/>
        <v>60+</v>
      </c>
      <c r="K947" t="str">
        <f t="shared" si="57"/>
        <v>lunes-05</v>
      </c>
      <c r="L947">
        <f t="shared" si="58"/>
        <v>2023</v>
      </c>
      <c r="M947" t="str">
        <f t="shared" si="59"/>
        <v>T2-2023</v>
      </c>
    </row>
    <row r="948" spans="1:13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 t="str">
        <f t="shared" si="56"/>
        <v>60+</v>
      </c>
      <c r="K948" t="str">
        <f t="shared" si="57"/>
        <v>jueves-03</v>
      </c>
      <c r="L948">
        <f t="shared" si="58"/>
        <v>2023</v>
      </c>
      <c r="M948" t="str">
        <f t="shared" si="59"/>
        <v>T1-2023</v>
      </c>
    </row>
    <row r="949" spans="1:13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 t="str">
        <f t="shared" si="56"/>
        <v>60+</v>
      </c>
      <c r="K949" t="str">
        <f t="shared" si="57"/>
        <v>viernes-10</v>
      </c>
      <c r="L949">
        <f t="shared" si="58"/>
        <v>2023</v>
      </c>
      <c r="M949" t="str">
        <f t="shared" si="59"/>
        <v>T4-2023</v>
      </c>
    </row>
    <row r="950" spans="1:13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 t="str">
        <f t="shared" si="56"/>
        <v>60+</v>
      </c>
      <c r="K950" t="str">
        <f t="shared" si="57"/>
        <v>miércoles-08</v>
      </c>
      <c r="L950">
        <f t="shared" si="58"/>
        <v>2023</v>
      </c>
      <c r="M950" t="str">
        <f t="shared" si="59"/>
        <v>T3-2023</v>
      </c>
    </row>
    <row r="951" spans="1:13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 t="str">
        <f t="shared" si="56"/>
        <v>60+</v>
      </c>
      <c r="K951" t="str">
        <f t="shared" si="57"/>
        <v>martes-11</v>
      </c>
      <c r="L951">
        <f t="shared" si="58"/>
        <v>2023</v>
      </c>
      <c r="M951" t="str">
        <f t="shared" si="59"/>
        <v>T4-2023</v>
      </c>
    </row>
    <row r="952" spans="1:13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 t="str">
        <f t="shared" si="56"/>
        <v>60+</v>
      </c>
      <c r="K952" t="str">
        <f t="shared" si="57"/>
        <v>jueves-11</v>
      </c>
      <c r="L952">
        <f t="shared" si="58"/>
        <v>2023</v>
      </c>
      <c r="M952" t="str">
        <f t="shared" si="59"/>
        <v>T4-2023</v>
      </c>
    </row>
    <row r="953" spans="1:13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 t="str">
        <f t="shared" si="56"/>
        <v>60+</v>
      </c>
      <c r="K953" t="str">
        <f t="shared" si="57"/>
        <v>lunes-11</v>
      </c>
      <c r="L953">
        <f t="shared" si="58"/>
        <v>2023</v>
      </c>
      <c r="M953" t="str">
        <f t="shared" si="59"/>
        <v>T4-2023</v>
      </c>
    </row>
    <row r="954" spans="1:13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 t="str">
        <f t="shared" si="56"/>
        <v>60+</v>
      </c>
      <c r="K954" t="str">
        <f t="shared" si="57"/>
        <v>miércoles-04</v>
      </c>
      <c r="L954">
        <f t="shared" si="58"/>
        <v>2023</v>
      </c>
      <c r="M954" t="str">
        <f t="shared" si="59"/>
        <v>T2-2023</v>
      </c>
    </row>
    <row r="955" spans="1:13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 t="str">
        <f t="shared" si="56"/>
        <v>60+</v>
      </c>
      <c r="K955" t="str">
        <f t="shared" si="57"/>
        <v>lunes-09</v>
      </c>
      <c r="L955">
        <f t="shared" si="58"/>
        <v>2023</v>
      </c>
      <c r="M955" t="str">
        <f t="shared" si="59"/>
        <v>T3-2023</v>
      </c>
    </row>
    <row r="956" spans="1:13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 t="str">
        <f t="shared" si="56"/>
        <v>60+</v>
      </c>
      <c r="K956" t="str">
        <f t="shared" si="57"/>
        <v>viernes-07</v>
      </c>
      <c r="L956">
        <f t="shared" si="58"/>
        <v>2023</v>
      </c>
      <c r="M956" t="str">
        <f t="shared" si="59"/>
        <v>T3-2023</v>
      </c>
    </row>
    <row r="957" spans="1:13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 t="str">
        <f t="shared" si="56"/>
        <v>60+</v>
      </c>
      <c r="K957" t="str">
        <f t="shared" si="57"/>
        <v>sábado-08</v>
      </c>
      <c r="L957">
        <f t="shared" si="58"/>
        <v>2023</v>
      </c>
      <c r="M957" t="str">
        <f t="shared" si="59"/>
        <v>T3-2023</v>
      </c>
    </row>
    <row r="958" spans="1:13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 t="str">
        <f t="shared" si="56"/>
        <v>60+</v>
      </c>
      <c r="K958" t="str">
        <f t="shared" si="57"/>
        <v>martes-08</v>
      </c>
      <c r="L958">
        <f t="shared" si="58"/>
        <v>2023</v>
      </c>
      <c r="M958" t="str">
        <f t="shared" si="59"/>
        <v>T3-2023</v>
      </c>
    </row>
    <row r="959" spans="1:13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 t="str">
        <f t="shared" si="56"/>
        <v>60+</v>
      </c>
      <c r="K959" t="str">
        <f t="shared" si="57"/>
        <v>viernes-06</v>
      </c>
      <c r="L959">
        <f t="shared" si="58"/>
        <v>2023</v>
      </c>
      <c r="M959" t="str">
        <f t="shared" si="59"/>
        <v>T2-2023</v>
      </c>
    </row>
    <row r="960" spans="1:13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 t="str">
        <f t="shared" si="56"/>
        <v>60+</v>
      </c>
      <c r="K960" t="str">
        <f t="shared" si="57"/>
        <v>domingo-10</v>
      </c>
      <c r="L960">
        <f t="shared" si="58"/>
        <v>2023</v>
      </c>
      <c r="M960" t="str">
        <f t="shared" si="59"/>
        <v>T4-2023</v>
      </c>
    </row>
    <row r="961" spans="1:13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 t="str">
        <f t="shared" si="56"/>
        <v>60+</v>
      </c>
      <c r="K961" t="str">
        <f t="shared" si="57"/>
        <v>martes-08</v>
      </c>
      <c r="L961">
        <f t="shared" si="58"/>
        <v>2023</v>
      </c>
      <c r="M961" t="str">
        <f t="shared" si="59"/>
        <v>T3-2023</v>
      </c>
    </row>
    <row r="962" spans="1:13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 t="str">
        <f t="shared" si="56"/>
        <v>60+</v>
      </c>
      <c r="K962" t="str">
        <f t="shared" si="57"/>
        <v>martes-06</v>
      </c>
      <c r="L962">
        <f t="shared" si="58"/>
        <v>2023</v>
      </c>
      <c r="M962" t="str">
        <f t="shared" si="59"/>
        <v>T2-2023</v>
      </c>
    </row>
    <row r="963" spans="1:13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 t="str">
        <f t="shared" ref="J963:J1001" si="60">IF(D963&lt;30,"18-29",IF(D963&lt;45,"30-44",IF(D963&lt;60,"45-59","60+")))</f>
        <v>60+</v>
      </c>
      <c r="K963" t="str">
        <f t="shared" ref="K963:K1001" si="61">TEXT(B963,"AAAA-MM")</f>
        <v>jueves-10</v>
      </c>
      <c r="L963">
        <f t="shared" ref="L963:L1001" si="62">YEAR(B963)</f>
        <v>2023</v>
      </c>
      <c r="M963" t="str">
        <f t="shared" ref="M963:M1001" si="63">"T"&amp;INT((MONTH(B963)-1)/3+1)&amp;"-"&amp;YEAR(B963)</f>
        <v>T4-2023</v>
      </c>
    </row>
    <row r="964" spans="1:13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 t="str">
        <f t="shared" si="60"/>
        <v>60+</v>
      </c>
      <c r="K964" t="str">
        <f t="shared" si="61"/>
        <v>martes-11</v>
      </c>
      <c r="L964">
        <f t="shared" si="62"/>
        <v>2023</v>
      </c>
      <c r="M964" t="str">
        <f t="shared" si="63"/>
        <v>T4-2023</v>
      </c>
    </row>
    <row r="965" spans="1:13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 t="str">
        <f t="shared" si="60"/>
        <v>60+</v>
      </c>
      <c r="K965" t="str">
        <f t="shared" si="61"/>
        <v>martes-01</v>
      </c>
      <c r="L965">
        <f t="shared" si="62"/>
        <v>2023</v>
      </c>
      <c r="M965" t="str">
        <f t="shared" si="63"/>
        <v>T1-2023</v>
      </c>
    </row>
    <row r="966" spans="1:13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 t="str">
        <f t="shared" si="60"/>
        <v>60+</v>
      </c>
      <c r="K966" t="str">
        <f t="shared" si="61"/>
        <v>jueves-11</v>
      </c>
      <c r="L966">
        <f t="shared" si="62"/>
        <v>2023</v>
      </c>
      <c r="M966" t="str">
        <f t="shared" si="63"/>
        <v>T4-2023</v>
      </c>
    </row>
    <row r="967" spans="1:13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 t="str">
        <f t="shared" si="60"/>
        <v>60+</v>
      </c>
      <c r="K967" t="str">
        <f t="shared" si="61"/>
        <v>lunes-02</v>
      </c>
      <c r="L967">
        <f t="shared" si="62"/>
        <v>2023</v>
      </c>
      <c r="M967" t="str">
        <f t="shared" si="63"/>
        <v>T1-2023</v>
      </c>
    </row>
    <row r="968" spans="1:13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 t="str">
        <f t="shared" si="60"/>
        <v>60+</v>
      </c>
      <c r="K968" t="str">
        <f t="shared" si="61"/>
        <v>lunes-04</v>
      </c>
      <c r="L968">
        <f t="shared" si="62"/>
        <v>2023</v>
      </c>
      <c r="M968" t="str">
        <f t="shared" si="63"/>
        <v>T2-2023</v>
      </c>
    </row>
    <row r="969" spans="1:13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 t="str">
        <f t="shared" si="60"/>
        <v>60+</v>
      </c>
      <c r="K969" t="str">
        <f t="shared" si="61"/>
        <v>viernes-11</v>
      </c>
      <c r="L969">
        <f t="shared" si="62"/>
        <v>2023</v>
      </c>
      <c r="M969" t="str">
        <f t="shared" si="63"/>
        <v>T4-2023</v>
      </c>
    </row>
    <row r="970" spans="1:13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 t="str">
        <f t="shared" si="60"/>
        <v>60+</v>
      </c>
      <c r="K970" t="str">
        <f t="shared" si="61"/>
        <v>miércoles-04</v>
      </c>
      <c r="L970">
        <f t="shared" si="62"/>
        <v>2023</v>
      </c>
      <c r="M970" t="str">
        <f t="shared" si="63"/>
        <v>T2-2023</v>
      </c>
    </row>
    <row r="971" spans="1:13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 t="str">
        <f t="shared" si="60"/>
        <v>60+</v>
      </c>
      <c r="K971" t="str">
        <f t="shared" si="61"/>
        <v>martes-05</v>
      </c>
      <c r="L971">
        <f t="shared" si="62"/>
        <v>2023</v>
      </c>
      <c r="M971" t="str">
        <f t="shared" si="63"/>
        <v>T2-2023</v>
      </c>
    </row>
    <row r="972" spans="1:13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 t="str">
        <f t="shared" si="60"/>
        <v>60+</v>
      </c>
      <c r="K972" t="str">
        <f t="shared" si="61"/>
        <v>martes-12</v>
      </c>
      <c r="L972">
        <f t="shared" si="62"/>
        <v>2023</v>
      </c>
      <c r="M972" t="str">
        <f t="shared" si="63"/>
        <v>T4-2023</v>
      </c>
    </row>
    <row r="973" spans="1:13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 t="str">
        <f t="shared" si="60"/>
        <v>60+</v>
      </c>
      <c r="K973" t="str">
        <f t="shared" si="61"/>
        <v>sábado-02</v>
      </c>
      <c r="L973">
        <f t="shared" si="62"/>
        <v>2023</v>
      </c>
      <c r="M973" t="str">
        <f t="shared" si="63"/>
        <v>T1-2023</v>
      </c>
    </row>
    <row r="974" spans="1:13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 t="str">
        <f t="shared" si="60"/>
        <v>60+</v>
      </c>
      <c r="K974" t="str">
        <f t="shared" si="61"/>
        <v>miércoles-03</v>
      </c>
      <c r="L974">
        <f t="shared" si="62"/>
        <v>2023</v>
      </c>
      <c r="M974" t="str">
        <f t="shared" si="63"/>
        <v>T1-2023</v>
      </c>
    </row>
    <row r="975" spans="1:13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 t="str">
        <f t="shared" si="60"/>
        <v>60+</v>
      </c>
      <c r="K975" t="str">
        <f t="shared" si="61"/>
        <v>miércoles-05</v>
      </c>
      <c r="L975">
        <f t="shared" si="62"/>
        <v>2023</v>
      </c>
      <c r="M975" t="str">
        <f t="shared" si="63"/>
        <v>T2-2023</v>
      </c>
    </row>
    <row r="976" spans="1:13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 t="str">
        <f t="shared" si="60"/>
        <v>60+</v>
      </c>
      <c r="K976" t="str">
        <f t="shared" si="61"/>
        <v>jueves-03</v>
      </c>
      <c r="L976">
        <f t="shared" si="62"/>
        <v>2023</v>
      </c>
      <c r="M976" t="str">
        <f t="shared" si="63"/>
        <v>T1-2023</v>
      </c>
    </row>
    <row r="977" spans="1:13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 t="str">
        <f t="shared" si="60"/>
        <v>60+</v>
      </c>
      <c r="K977" t="str">
        <f t="shared" si="61"/>
        <v>martes-10</v>
      </c>
      <c r="L977">
        <f t="shared" si="62"/>
        <v>2023</v>
      </c>
      <c r="M977" t="str">
        <f t="shared" si="63"/>
        <v>T4-2023</v>
      </c>
    </row>
    <row r="978" spans="1:13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 t="str">
        <f t="shared" si="60"/>
        <v>60+</v>
      </c>
      <c r="K978" t="str">
        <f t="shared" si="61"/>
        <v>miércoles-02</v>
      </c>
      <c r="L978">
        <f t="shared" si="62"/>
        <v>2023</v>
      </c>
      <c r="M978" t="str">
        <f t="shared" si="63"/>
        <v>T1-2023</v>
      </c>
    </row>
    <row r="979" spans="1:13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 t="str">
        <f t="shared" si="60"/>
        <v>60+</v>
      </c>
      <c r="K979" t="str">
        <f t="shared" si="61"/>
        <v>miércoles-03</v>
      </c>
      <c r="L979">
        <f t="shared" si="62"/>
        <v>2023</v>
      </c>
      <c r="M979" t="str">
        <f t="shared" si="63"/>
        <v>T1-2023</v>
      </c>
    </row>
    <row r="980" spans="1:13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 t="str">
        <f t="shared" si="60"/>
        <v>60+</v>
      </c>
      <c r="K980" t="str">
        <f t="shared" si="61"/>
        <v>lunes-01</v>
      </c>
      <c r="L980">
        <f t="shared" si="62"/>
        <v>2023</v>
      </c>
      <c r="M980" t="str">
        <f t="shared" si="63"/>
        <v>T1-2023</v>
      </c>
    </row>
    <row r="981" spans="1:13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 t="str">
        <f t="shared" si="60"/>
        <v>60+</v>
      </c>
      <c r="K981" t="str">
        <f t="shared" si="61"/>
        <v>sábado-07</v>
      </c>
      <c r="L981">
        <f t="shared" si="62"/>
        <v>2023</v>
      </c>
      <c r="M981" t="str">
        <f t="shared" si="63"/>
        <v>T3-2023</v>
      </c>
    </row>
    <row r="982" spans="1:13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 t="str">
        <f t="shared" si="60"/>
        <v>60+</v>
      </c>
      <c r="K982" t="str">
        <f t="shared" si="61"/>
        <v>sábado-08</v>
      </c>
      <c r="L982">
        <f t="shared" si="62"/>
        <v>2023</v>
      </c>
      <c r="M982" t="str">
        <f t="shared" si="63"/>
        <v>T3-2023</v>
      </c>
    </row>
    <row r="983" spans="1:13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 t="str">
        <f t="shared" si="60"/>
        <v>60+</v>
      </c>
      <c r="K983" t="str">
        <f t="shared" si="61"/>
        <v>martes-12</v>
      </c>
      <c r="L983">
        <f t="shared" si="62"/>
        <v>2023</v>
      </c>
      <c r="M983" t="str">
        <f t="shared" si="63"/>
        <v>T4-2023</v>
      </c>
    </row>
    <row r="984" spans="1:13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 t="str">
        <f t="shared" si="60"/>
        <v>60+</v>
      </c>
      <c r="K984" t="str">
        <f t="shared" si="61"/>
        <v>miércoles-11</v>
      </c>
      <c r="L984">
        <f t="shared" si="62"/>
        <v>2023</v>
      </c>
      <c r="M984" t="str">
        <f t="shared" si="63"/>
        <v>T4-2023</v>
      </c>
    </row>
    <row r="985" spans="1:13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 t="str">
        <f t="shared" si="60"/>
        <v>60+</v>
      </c>
      <c r="K985" t="str">
        <f t="shared" si="61"/>
        <v>martes-08</v>
      </c>
      <c r="L985">
        <f t="shared" si="62"/>
        <v>2023</v>
      </c>
      <c r="M985" t="str">
        <f t="shared" si="63"/>
        <v>T3-2023</v>
      </c>
    </row>
    <row r="986" spans="1:13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 t="str">
        <f t="shared" si="60"/>
        <v>60+</v>
      </c>
      <c r="K986" t="str">
        <f t="shared" si="61"/>
        <v>martes-05</v>
      </c>
      <c r="L986">
        <f t="shared" si="62"/>
        <v>2023</v>
      </c>
      <c r="M986" t="str">
        <f t="shared" si="63"/>
        <v>T2-2023</v>
      </c>
    </row>
    <row r="987" spans="1:13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 t="str">
        <f t="shared" si="60"/>
        <v>60+</v>
      </c>
      <c r="K987" t="str">
        <f t="shared" si="61"/>
        <v>martes-01</v>
      </c>
      <c r="L987">
        <f t="shared" si="62"/>
        <v>2023</v>
      </c>
      <c r="M987" t="str">
        <f t="shared" si="63"/>
        <v>T1-2023</v>
      </c>
    </row>
    <row r="988" spans="1:13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 t="str">
        <f t="shared" si="60"/>
        <v>60+</v>
      </c>
      <c r="K988" t="str">
        <f t="shared" si="61"/>
        <v>sábado-04</v>
      </c>
      <c r="L988">
        <f t="shared" si="62"/>
        <v>2023</v>
      </c>
      <c r="M988" t="str">
        <f t="shared" si="63"/>
        <v>T2-2023</v>
      </c>
    </row>
    <row r="989" spans="1:13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 t="str">
        <f t="shared" si="60"/>
        <v>60+</v>
      </c>
      <c r="K989" t="str">
        <f t="shared" si="61"/>
        <v>domingo-05</v>
      </c>
      <c r="L989">
        <f t="shared" si="62"/>
        <v>2023</v>
      </c>
      <c r="M989" t="str">
        <f t="shared" si="63"/>
        <v>T2-2023</v>
      </c>
    </row>
    <row r="990" spans="1:13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 t="str">
        <f t="shared" si="60"/>
        <v>60+</v>
      </c>
      <c r="K990" t="str">
        <f t="shared" si="61"/>
        <v>jueves-12</v>
      </c>
      <c r="L990">
        <f t="shared" si="62"/>
        <v>2023</v>
      </c>
      <c r="M990" t="str">
        <f t="shared" si="63"/>
        <v>T4-2023</v>
      </c>
    </row>
    <row r="991" spans="1:13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 t="str">
        <f t="shared" si="60"/>
        <v>60+</v>
      </c>
      <c r="K991" t="str">
        <f t="shared" si="61"/>
        <v>jueves-05</v>
      </c>
      <c r="L991">
        <f t="shared" si="62"/>
        <v>2023</v>
      </c>
      <c r="M991" t="str">
        <f t="shared" si="63"/>
        <v>T2-2023</v>
      </c>
    </row>
    <row r="992" spans="1:13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 t="str">
        <f t="shared" si="60"/>
        <v>60+</v>
      </c>
      <c r="K992" t="str">
        <f t="shared" si="61"/>
        <v>martes-12</v>
      </c>
      <c r="L992">
        <f t="shared" si="62"/>
        <v>2023</v>
      </c>
      <c r="M992" t="str">
        <f t="shared" si="63"/>
        <v>T4-2023</v>
      </c>
    </row>
    <row r="993" spans="1:13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 t="str">
        <f t="shared" si="60"/>
        <v>60+</v>
      </c>
      <c r="K993" t="str">
        <f t="shared" si="61"/>
        <v>lunes-08</v>
      </c>
      <c r="L993">
        <f t="shared" si="62"/>
        <v>2023</v>
      </c>
      <c r="M993" t="str">
        <f t="shared" si="63"/>
        <v>T3-2023</v>
      </c>
    </row>
    <row r="994" spans="1:13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 t="str">
        <f t="shared" si="60"/>
        <v>60+</v>
      </c>
      <c r="K994" t="str">
        <f t="shared" si="61"/>
        <v>lunes-02</v>
      </c>
      <c r="L994">
        <f t="shared" si="62"/>
        <v>2023</v>
      </c>
      <c r="M994" t="str">
        <f t="shared" si="63"/>
        <v>T1-2023</v>
      </c>
    </row>
    <row r="995" spans="1:13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 t="str">
        <f t="shared" si="60"/>
        <v>60+</v>
      </c>
      <c r="K995" t="str">
        <f t="shared" si="61"/>
        <v>lunes-12</v>
      </c>
      <c r="L995">
        <f t="shared" si="62"/>
        <v>2023</v>
      </c>
      <c r="M995" t="str">
        <f t="shared" si="63"/>
        <v>T4-2023</v>
      </c>
    </row>
    <row r="996" spans="1:13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 t="str">
        <f t="shared" si="60"/>
        <v>60+</v>
      </c>
      <c r="K996" t="str">
        <f t="shared" si="61"/>
        <v>domingo-04</v>
      </c>
      <c r="L996">
        <f t="shared" si="62"/>
        <v>2023</v>
      </c>
      <c r="M996" t="str">
        <f t="shared" si="63"/>
        <v>T2-2023</v>
      </c>
    </row>
    <row r="997" spans="1:13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 t="str">
        <f t="shared" si="60"/>
        <v>60+</v>
      </c>
      <c r="K997" t="str">
        <f t="shared" si="61"/>
        <v>martes-05</v>
      </c>
      <c r="L997">
        <f t="shared" si="62"/>
        <v>2023</v>
      </c>
      <c r="M997" t="str">
        <f t="shared" si="63"/>
        <v>T2-2023</v>
      </c>
    </row>
    <row r="998" spans="1:13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 t="str">
        <f t="shared" si="60"/>
        <v>60+</v>
      </c>
      <c r="K998" t="str">
        <f t="shared" si="61"/>
        <v>viernes-11</v>
      </c>
      <c r="L998">
        <f t="shared" si="62"/>
        <v>2023</v>
      </c>
      <c r="M998" t="str">
        <f t="shared" si="63"/>
        <v>T4-2023</v>
      </c>
    </row>
    <row r="999" spans="1:13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 t="str">
        <f t="shared" si="60"/>
        <v>60+</v>
      </c>
      <c r="K999" t="str">
        <f t="shared" si="61"/>
        <v>domingo-10</v>
      </c>
      <c r="L999">
        <f t="shared" si="62"/>
        <v>2023</v>
      </c>
      <c r="M999" t="str">
        <f t="shared" si="63"/>
        <v>T4-2023</v>
      </c>
    </row>
    <row r="1000" spans="1:13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 t="str">
        <f t="shared" si="60"/>
        <v>60+</v>
      </c>
      <c r="K1000" t="str">
        <f t="shared" si="61"/>
        <v>martes-12</v>
      </c>
      <c r="L1000">
        <f t="shared" si="62"/>
        <v>2023</v>
      </c>
      <c r="M1000" t="str">
        <f t="shared" si="63"/>
        <v>T4-2023</v>
      </c>
    </row>
    <row r="1001" spans="1:13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 t="str">
        <f t="shared" si="60"/>
        <v>60+</v>
      </c>
      <c r="K1001" t="str">
        <f t="shared" si="61"/>
        <v>miércoles-04</v>
      </c>
      <c r="L1001">
        <f t="shared" si="62"/>
        <v>2023</v>
      </c>
      <c r="M1001" t="str">
        <f t="shared" si="63"/>
        <v>T2-2023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DFA0-C5F0-4A51-A64C-64307943A3C0}">
  <dimension ref="A1:C11"/>
  <sheetViews>
    <sheetView workbookViewId="0">
      <selection activeCell="F5" sqref="F5"/>
    </sheetView>
  </sheetViews>
  <sheetFormatPr baseColWidth="10" defaultRowHeight="15" x14ac:dyDescent="0.25"/>
  <cols>
    <col min="1" max="1" width="19.85546875" bestFit="1" customWidth="1"/>
    <col min="2" max="2" width="28.85546875" bestFit="1" customWidth="1"/>
    <col min="3" max="3" width="25.5703125" bestFit="1" customWidth="1"/>
  </cols>
  <sheetData>
    <row r="1" spans="1:3" ht="15.75" thickBot="1" x14ac:dyDescent="0.3">
      <c r="A1" s="3" t="s">
        <v>1021</v>
      </c>
      <c r="B1" s="4" t="s">
        <v>1022</v>
      </c>
      <c r="C1" s="4" t="s">
        <v>1023</v>
      </c>
    </row>
    <row r="2" spans="1:3" ht="15.75" thickBot="1" x14ac:dyDescent="0.3">
      <c r="A2" s="5" t="s">
        <v>1024</v>
      </c>
      <c r="B2" s="6" t="s">
        <v>1025</v>
      </c>
      <c r="C2" s="11">
        <f>COUNTA('02_CLEAN'!A2:A1001)</f>
        <v>1000</v>
      </c>
    </row>
    <row r="3" spans="1:3" ht="15.75" thickBot="1" x14ac:dyDescent="0.3">
      <c r="A3" s="7" t="s">
        <v>1026</v>
      </c>
      <c r="B3" s="8" t="s">
        <v>1027</v>
      </c>
      <c r="C3" s="11" cm="1">
        <f t="array" ref="C3">SUM(1/COUNTIF(retail_sales_dataset[Customer ID],retail_sales_dataset[Customer ID]))</f>
        <v>1000</v>
      </c>
    </row>
    <row r="4" spans="1:3" ht="15.75" thickBot="1" x14ac:dyDescent="0.3">
      <c r="A4" s="5" t="s">
        <v>1028</v>
      </c>
      <c r="B4" s="6" t="s">
        <v>1029</v>
      </c>
      <c r="C4" s="10">
        <f>SUM('02_CLEAN'!I2:I1001)</f>
        <v>456000</v>
      </c>
    </row>
    <row r="5" spans="1:3" ht="15.75" thickBot="1" x14ac:dyDescent="0.3">
      <c r="A5" s="7" t="s">
        <v>1030</v>
      </c>
      <c r="B5" s="8" t="s">
        <v>1031</v>
      </c>
      <c r="C5" s="9">
        <f>AVERAGE('02_CLEAN'!I2:I1001)</f>
        <v>456</v>
      </c>
    </row>
    <row r="6" spans="1:3" ht="15.75" thickBot="1" x14ac:dyDescent="0.3">
      <c r="A6" s="5" t="s">
        <v>1032</v>
      </c>
      <c r="B6" s="6" t="s">
        <v>1033</v>
      </c>
      <c r="C6" s="11">
        <f>SUM('02_CLEAN'!G2:G1001)</f>
        <v>2514</v>
      </c>
    </row>
    <row r="7" spans="1:3" ht="15.75" thickBot="1" x14ac:dyDescent="0.3">
      <c r="A7" s="7" t="s">
        <v>1034</v>
      </c>
      <c r="B7" s="8" t="s">
        <v>11</v>
      </c>
      <c r="C7" s="9">
        <f>SUMIF('01_RAW'!F:F,B7,'01_RAW'!I:I)</f>
        <v>143515</v>
      </c>
    </row>
    <row r="8" spans="1:3" ht="15.75" thickBot="1" x14ac:dyDescent="0.3">
      <c r="A8" s="7"/>
      <c r="B8" s="8" t="s">
        <v>14</v>
      </c>
      <c r="C8" s="9">
        <f>SUMIF('01_RAW'!F:F,B8,'01_RAW'!I:I)</f>
        <v>155580</v>
      </c>
    </row>
    <row r="9" spans="1:3" ht="15.75" thickBot="1" x14ac:dyDescent="0.3">
      <c r="A9" s="7"/>
      <c r="B9" s="8" t="s">
        <v>16</v>
      </c>
      <c r="C9" s="9">
        <f>SUMIF('01_RAW'!F:F,B9,'01_RAW'!I:I)</f>
        <v>156905</v>
      </c>
    </row>
    <row r="10" spans="1:3" ht="15.75" thickBot="1" x14ac:dyDescent="0.3">
      <c r="A10" s="5" t="s">
        <v>1035</v>
      </c>
      <c r="B10" s="6" t="s">
        <v>10</v>
      </c>
      <c r="C10" s="9">
        <f>SUMIF('01_RAW'!D:D,B10,'01_RAW'!I:I)</f>
        <v>223160</v>
      </c>
    </row>
    <row r="11" spans="1:3" ht="15.75" thickBot="1" x14ac:dyDescent="0.3">
      <c r="A11" s="7"/>
      <c r="B11" s="6" t="s">
        <v>13</v>
      </c>
      <c r="C11" s="9">
        <f>SUMIF('01_RAW'!D:D,B11,'01_RAW'!I:I)</f>
        <v>232840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B866-F567-43D2-B9EC-067504CC3634}">
  <dimension ref="B2:N1029"/>
  <sheetViews>
    <sheetView showGridLines="0" tabSelected="1" topLeftCell="H1" workbookViewId="0">
      <selection activeCell="L29" sqref="L29"/>
    </sheetView>
  </sheetViews>
  <sheetFormatPr baseColWidth="10" defaultRowHeight="11.25" x14ac:dyDescent="0.2"/>
  <cols>
    <col min="1" max="1" width="11.42578125" style="12"/>
    <col min="2" max="2" width="12.5703125" style="12" bestFit="1" customWidth="1"/>
    <col min="3" max="3" width="21.28515625" style="12" bestFit="1" customWidth="1"/>
    <col min="4" max="4" width="26" style="12" bestFit="1" customWidth="1"/>
    <col min="5" max="5" width="23.85546875" style="12" bestFit="1" customWidth="1"/>
    <col min="6" max="6" width="11.42578125" style="12"/>
    <col min="7" max="7" width="9.7109375" style="12" bestFit="1" customWidth="1"/>
    <col min="8" max="8" width="15.85546875" style="12" bestFit="1" customWidth="1"/>
    <col min="9" max="9" width="17.7109375" style="12" bestFit="1" customWidth="1"/>
    <col min="10" max="10" width="11.42578125" style="12"/>
    <col min="11" max="11" width="9.7109375" style="12" bestFit="1" customWidth="1"/>
    <col min="12" max="12" width="15.85546875" style="12" bestFit="1" customWidth="1"/>
    <col min="13" max="16384" width="11.42578125" style="12"/>
  </cols>
  <sheetData>
    <row r="2" spans="2:10" x14ac:dyDescent="0.2">
      <c r="B2" s="13" t="s">
        <v>1037</v>
      </c>
      <c r="C2" s="13"/>
      <c r="D2" s="13"/>
      <c r="E2" s="13"/>
      <c r="G2" s="13" t="s">
        <v>1044</v>
      </c>
      <c r="H2" s="13"/>
      <c r="I2" s="13"/>
      <c r="J2" s="13"/>
    </row>
    <row r="4" spans="2:10" ht="15" x14ac:dyDescent="0.25">
      <c r="B4" s="14" t="s">
        <v>1040</v>
      </c>
      <c r="C4" s="14" t="s">
        <v>1038</v>
      </c>
      <c r="G4" s="14" t="s">
        <v>1039</v>
      </c>
      <c r="H4" s="12" t="s">
        <v>1029</v>
      </c>
      <c r="I4" s="12" t="s">
        <v>1043</v>
      </c>
      <c r="J4"/>
    </row>
    <row r="5" spans="2:10" ht="15" x14ac:dyDescent="0.25">
      <c r="B5" s="14" t="s">
        <v>1039</v>
      </c>
      <c r="C5" s="12" t="s">
        <v>13</v>
      </c>
      <c r="D5" s="12" t="s">
        <v>10</v>
      </c>
      <c r="E5" s="12" t="s">
        <v>1036</v>
      </c>
      <c r="G5" s="15" t="s">
        <v>1045</v>
      </c>
      <c r="H5" s="16">
        <v>5810</v>
      </c>
      <c r="I5" s="16">
        <v>11</v>
      </c>
      <c r="J5"/>
    </row>
    <row r="6" spans="2:10" ht="15" x14ac:dyDescent="0.25">
      <c r="B6" s="15" t="s">
        <v>11</v>
      </c>
      <c r="C6" s="16">
        <v>74830</v>
      </c>
      <c r="D6" s="16">
        <v>68685</v>
      </c>
      <c r="E6" s="16">
        <v>143515</v>
      </c>
      <c r="G6" s="15" t="s">
        <v>1046</v>
      </c>
      <c r="H6" s="16">
        <v>4380</v>
      </c>
      <c r="I6" s="16">
        <v>12</v>
      </c>
      <c r="J6"/>
    </row>
    <row r="7" spans="2:10" ht="15" x14ac:dyDescent="0.25">
      <c r="B7" s="15" t="s">
        <v>14</v>
      </c>
      <c r="C7" s="16">
        <v>81275</v>
      </c>
      <c r="D7" s="16">
        <v>74305</v>
      </c>
      <c r="E7" s="16">
        <v>155580</v>
      </c>
      <c r="G7" s="15" t="s">
        <v>1047</v>
      </c>
      <c r="H7" s="16">
        <v>2445</v>
      </c>
      <c r="I7" s="16">
        <v>9</v>
      </c>
      <c r="J7"/>
    </row>
    <row r="8" spans="2:10" ht="15" x14ac:dyDescent="0.25">
      <c r="B8" s="15" t="s">
        <v>16</v>
      </c>
      <c r="C8" s="16">
        <v>76735</v>
      </c>
      <c r="D8" s="16">
        <v>80170</v>
      </c>
      <c r="E8" s="16">
        <v>156905</v>
      </c>
      <c r="G8" s="15" t="s">
        <v>1048</v>
      </c>
      <c r="H8" s="16">
        <v>8195</v>
      </c>
      <c r="I8" s="16">
        <v>21</v>
      </c>
      <c r="J8"/>
    </row>
    <row r="9" spans="2:10" ht="15" x14ac:dyDescent="0.25">
      <c r="B9" s="15" t="s">
        <v>1036</v>
      </c>
      <c r="C9" s="16">
        <v>232840</v>
      </c>
      <c r="D9" s="16">
        <v>223160</v>
      </c>
      <c r="E9" s="16">
        <v>456000</v>
      </c>
      <c r="G9" s="15" t="s">
        <v>1049</v>
      </c>
      <c r="H9" s="16">
        <v>5030</v>
      </c>
      <c r="I9" s="16">
        <v>12</v>
      </c>
      <c r="J9"/>
    </row>
    <row r="10" spans="2:10" x14ac:dyDescent="0.2">
      <c r="G10" s="15" t="s">
        <v>1050</v>
      </c>
      <c r="H10" s="16">
        <v>6130</v>
      </c>
      <c r="I10" s="16">
        <v>11</v>
      </c>
    </row>
    <row r="11" spans="2:10" x14ac:dyDescent="0.2">
      <c r="B11" s="13" t="s">
        <v>1041</v>
      </c>
      <c r="C11" s="13"/>
      <c r="D11" s="13"/>
      <c r="E11" s="13"/>
      <c r="G11" s="15" t="s">
        <v>1051</v>
      </c>
      <c r="H11" s="16">
        <v>2785</v>
      </c>
      <c r="I11" s="16">
        <v>9</v>
      </c>
    </row>
    <row r="12" spans="2:10" x14ac:dyDescent="0.2">
      <c r="G12" s="15" t="s">
        <v>1052</v>
      </c>
      <c r="H12" s="16">
        <v>5015</v>
      </c>
      <c r="I12" s="16">
        <v>9</v>
      </c>
    </row>
    <row r="13" spans="2:10" x14ac:dyDescent="0.2">
      <c r="B13" s="14" t="s">
        <v>1039</v>
      </c>
      <c r="C13" s="12" t="s">
        <v>1029</v>
      </c>
      <c r="D13" s="12" t="s">
        <v>1042</v>
      </c>
      <c r="E13" s="12" t="s">
        <v>1043</v>
      </c>
      <c r="G13" s="15" t="s">
        <v>1053</v>
      </c>
      <c r="H13" s="16">
        <v>1590</v>
      </c>
      <c r="I13" s="16">
        <v>9</v>
      </c>
    </row>
    <row r="14" spans="2:10" x14ac:dyDescent="0.2">
      <c r="B14" s="15">
        <v>18</v>
      </c>
      <c r="C14" s="16">
        <v>11215</v>
      </c>
      <c r="D14" s="16">
        <v>534.04761904761904</v>
      </c>
      <c r="E14" s="17">
        <v>21</v>
      </c>
      <c r="G14" s="15" t="s">
        <v>1054</v>
      </c>
      <c r="H14" s="16">
        <v>9525</v>
      </c>
      <c r="I14" s="16">
        <v>17</v>
      </c>
    </row>
    <row r="15" spans="2:10" x14ac:dyDescent="0.2">
      <c r="B15" s="15">
        <v>19</v>
      </c>
      <c r="C15" s="16">
        <v>14870</v>
      </c>
      <c r="D15" s="16">
        <v>708.09523809523807</v>
      </c>
      <c r="E15" s="17">
        <v>21</v>
      </c>
      <c r="G15" s="15" t="s">
        <v>1055</v>
      </c>
      <c r="H15" s="16">
        <v>3925</v>
      </c>
      <c r="I15" s="16">
        <v>8</v>
      </c>
    </row>
    <row r="16" spans="2:10" x14ac:dyDescent="0.2">
      <c r="B16" s="15">
        <v>20</v>
      </c>
      <c r="C16" s="16">
        <v>8645</v>
      </c>
      <c r="D16" s="16">
        <v>411.66666666666669</v>
      </c>
      <c r="E16" s="17">
        <v>21</v>
      </c>
      <c r="G16" s="15" t="s">
        <v>1056</v>
      </c>
      <c r="H16" s="16">
        <v>3770</v>
      </c>
      <c r="I16" s="16">
        <v>10</v>
      </c>
    </row>
    <row r="17" spans="2:14" x14ac:dyDescent="0.2">
      <c r="B17" s="15">
        <v>21</v>
      </c>
      <c r="C17" s="16">
        <v>12585</v>
      </c>
      <c r="D17" s="16">
        <v>629.25</v>
      </c>
      <c r="E17" s="17">
        <v>20</v>
      </c>
      <c r="G17" s="15" t="s">
        <v>1057</v>
      </c>
      <c r="H17" s="16">
        <v>3700</v>
      </c>
      <c r="I17" s="16">
        <v>8</v>
      </c>
    </row>
    <row r="18" spans="2:14" x14ac:dyDescent="0.2">
      <c r="B18" s="15">
        <v>22</v>
      </c>
      <c r="C18" s="16">
        <v>13700</v>
      </c>
      <c r="D18" s="16">
        <v>507.40740740740739</v>
      </c>
      <c r="E18" s="17">
        <v>27</v>
      </c>
      <c r="G18" s="15" t="s">
        <v>1058</v>
      </c>
      <c r="H18" s="16">
        <v>2905</v>
      </c>
      <c r="I18" s="16">
        <v>6</v>
      </c>
    </row>
    <row r="19" spans="2:14" x14ac:dyDescent="0.2">
      <c r="B19" s="15">
        <v>23</v>
      </c>
      <c r="C19" s="16">
        <v>8220</v>
      </c>
      <c r="D19" s="16">
        <v>342.5</v>
      </c>
      <c r="E19" s="17">
        <v>24</v>
      </c>
      <c r="G19" s="15" t="s">
        <v>1059</v>
      </c>
      <c r="H19" s="16">
        <v>3650</v>
      </c>
      <c r="I19" s="16">
        <v>9</v>
      </c>
    </row>
    <row r="20" spans="2:14" x14ac:dyDescent="0.2">
      <c r="B20" s="15">
        <v>24</v>
      </c>
      <c r="C20" s="16">
        <v>5415</v>
      </c>
      <c r="D20" s="16">
        <v>361</v>
      </c>
      <c r="E20" s="17">
        <v>15</v>
      </c>
      <c r="G20" s="15" t="s">
        <v>1060</v>
      </c>
      <c r="H20" s="16">
        <v>6365</v>
      </c>
      <c r="I20" s="16">
        <v>12</v>
      </c>
    </row>
    <row r="21" spans="2:14" x14ac:dyDescent="0.2">
      <c r="B21" s="15">
        <v>25</v>
      </c>
      <c r="C21" s="16">
        <v>9900</v>
      </c>
      <c r="D21" s="16">
        <v>495</v>
      </c>
      <c r="E21" s="17">
        <v>20</v>
      </c>
      <c r="G21" s="15" t="s">
        <v>1061</v>
      </c>
      <c r="H21" s="16">
        <v>4320</v>
      </c>
      <c r="I21" s="16">
        <v>9</v>
      </c>
    </row>
    <row r="22" spans="2:14" x14ac:dyDescent="0.2">
      <c r="B22" s="15">
        <v>26</v>
      </c>
      <c r="C22" s="16">
        <v>13980</v>
      </c>
      <c r="D22" s="16">
        <v>635.4545454545455</v>
      </c>
      <c r="E22" s="17">
        <v>22</v>
      </c>
      <c r="G22" s="15" t="s">
        <v>1062</v>
      </c>
      <c r="H22" s="16">
        <v>5450</v>
      </c>
      <c r="I22" s="16">
        <v>14</v>
      </c>
    </row>
    <row r="23" spans="2:14" x14ac:dyDescent="0.2">
      <c r="B23" s="15">
        <v>27</v>
      </c>
      <c r="C23" s="16">
        <v>9385</v>
      </c>
      <c r="D23" s="16">
        <v>408.04347826086956</v>
      </c>
      <c r="E23" s="17">
        <v>23</v>
      </c>
      <c r="G23" s="15" t="s">
        <v>1063</v>
      </c>
      <c r="H23" s="16">
        <v>3550</v>
      </c>
      <c r="I23" s="16">
        <v>7</v>
      </c>
    </row>
    <row r="24" spans="2:14" x14ac:dyDescent="0.2">
      <c r="B24" s="15">
        <v>28</v>
      </c>
      <c r="C24" s="16">
        <v>8670</v>
      </c>
      <c r="D24" s="16">
        <v>412.85714285714283</v>
      </c>
      <c r="E24" s="17">
        <v>21</v>
      </c>
      <c r="G24" s="15" t="s">
        <v>1064</v>
      </c>
      <c r="H24" s="16">
        <v>5140</v>
      </c>
      <c r="I24" s="16">
        <v>13</v>
      </c>
    </row>
    <row r="25" spans="2:14" x14ac:dyDescent="0.2">
      <c r="B25" s="15">
        <v>29</v>
      </c>
      <c r="C25" s="16">
        <v>6570</v>
      </c>
      <c r="D25" s="16">
        <v>410.625</v>
      </c>
      <c r="E25" s="17">
        <v>16</v>
      </c>
      <c r="G25" s="15" t="s">
        <v>1065</v>
      </c>
      <c r="H25" s="16">
        <v>2150</v>
      </c>
      <c r="I25" s="16">
        <v>9</v>
      </c>
    </row>
    <row r="26" spans="2:14" x14ac:dyDescent="0.2">
      <c r="B26" s="15">
        <v>30</v>
      </c>
      <c r="C26" s="16">
        <v>9790</v>
      </c>
      <c r="D26" s="16">
        <v>445</v>
      </c>
      <c r="E26" s="17">
        <v>22</v>
      </c>
      <c r="G26" s="15" t="s">
        <v>1066</v>
      </c>
      <c r="H26" s="16">
        <v>3605</v>
      </c>
      <c r="I26" s="16">
        <v>12</v>
      </c>
      <c r="K26" s="13" t="s">
        <v>1129</v>
      </c>
      <c r="L26" s="13"/>
      <c r="M26" s="13"/>
      <c r="N26" s="13"/>
    </row>
    <row r="27" spans="2:14" x14ac:dyDescent="0.2">
      <c r="B27" s="15">
        <v>31</v>
      </c>
      <c r="C27" s="16">
        <v>10220</v>
      </c>
      <c r="D27" s="16">
        <v>464.54545454545456</v>
      </c>
      <c r="E27" s="17">
        <v>22</v>
      </c>
      <c r="G27" s="15" t="s">
        <v>1067</v>
      </c>
      <c r="H27" s="16">
        <v>8565</v>
      </c>
      <c r="I27" s="16">
        <v>16</v>
      </c>
    </row>
    <row r="28" spans="2:14" ht="15" x14ac:dyDescent="0.25">
      <c r="B28" s="15">
        <v>32</v>
      </c>
      <c r="C28" s="16">
        <v>5550</v>
      </c>
      <c r="D28" s="16">
        <v>292.10526315789474</v>
      </c>
      <c r="E28" s="17">
        <v>19</v>
      </c>
      <c r="G28" s="15" t="s">
        <v>1068</v>
      </c>
      <c r="H28" s="16">
        <v>4435</v>
      </c>
      <c r="I28" s="16">
        <v>8</v>
      </c>
      <c r="K28" s="14" t="s">
        <v>1039</v>
      </c>
      <c r="L28" s="12" t="s">
        <v>1029</v>
      </c>
      <c r="M28"/>
      <c r="N28"/>
    </row>
    <row r="29" spans="2:14" ht="15" x14ac:dyDescent="0.25">
      <c r="B29" s="15">
        <v>33</v>
      </c>
      <c r="C29" s="16">
        <v>6240</v>
      </c>
      <c r="D29" s="16">
        <v>624</v>
      </c>
      <c r="E29" s="17">
        <v>10</v>
      </c>
      <c r="G29" s="15" t="s">
        <v>1069</v>
      </c>
      <c r="H29" s="16">
        <v>11355</v>
      </c>
      <c r="I29" s="16">
        <v>16</v>
      </c>
      <c r="K29" s="15" t="s">
        <v>28</v>
      </c>
      <c r="L29" s="16">
        <v>2000</v>
      </c>
      <c r="M29"/>
      <c r="N29"/>
    </row>
    <row r="30" spans="2:14" ht="15" x14ac:dyDescent="0.25">
      <c r="B30" s="15">
        <v>34</v>
      </c>
      <c r="C30" s="16">
        <v>16785</v>
      </c>
      <c r="D30" s="16">
        <v>599.46428571428567</v>
      </c>
      <c r="E30" s="17">
        <v>28</v>
      </c>
      <c r="G30" s="15" t="s">
        <v>1070</v>
      </c>
      <c r="H30" s="16">
        <v>7180</v>
      </c>
      <c r="I30" s="16">
        <v>15</v>
      </c>
      <c r="K30" s="15" t="s">
        <v>78</v>
      </c>
      <c r="L30" s="16">
        <v>2000</v>
      </c>
      <c r="M30"/>
      <c r="N30"/>
    </row>
    <row r="31" spans="2:14" ht="15" x14ac:dyDescent="0.25">
      <c r="B31" s="15">
        <v>35</v>
      </c>
      <c r="C31" s="16">
        <v>11290</v>
      </c>
      <c r="D31" s="16">
        <v>513.18181818181813</v>
      </c>
      <c r="E31" s="17">
        <v>22</v>
      </c>
      <c r="G31" s="15" t="s">
        <v>1071</v>
      </c>
      <c r="H31" s="16">
        <v>4465</v>
      </c>
      <c r="I31" s="16">
        <v>14</v>
      </c>
      <c r="K31" s="15" t="s">
        <v>85</v>
      </c>
      <c r="L31" s="16">
        <v>2000</v>
      </c>
      <c r="M31"/>
      <c r="N31"/>
    </row>
    <row r="32" spans="2:14" ht="15" x14ac:dyDescent="0.25">
      <c r="B32" s="15">
        <v>36</v>
      </c>
      <c r="C32" s="16">
        <v>9105</v>
      </c>
      <c r="D32" s="16">
        <v>607</v>
      </c>
      <c r="E32" s="17">
        <v>15</v>
      </c>
      <c r="G32" s="15" t="s">
        <v>1072</v>
      </c>
      <c r="H32" s="16">
        <v>255</v>
      </c>
      <c r="I32" s="16">
        <v>5</v>
      </c>
      <c r="K32" s="15" t="s">
        <v>87</v>
      </c>
      <c r="L32" s="16">
        <v>2000</v>
      </c>
      <c r="M32"/>
      <c r="N32"/>
    </row>
    <row r="33" spans="2:14" ht="15" x14ac:dyDescent="0.25">
      <c r="B33" s="15">
        <v>37</v>
      </c>
      <c r="C33" s="16">
        <v>11650</v>
      </c>
      <c r="D33" s="16">
        <v>728.125</v>
      </c>
      <c r="E33" s="17">
        <v>16</v>
      </c>
      <c r="G33" s="15" t="s">
        <v>1073</v>
      </c>
      <c r="H33" s="16">
        <v>9515</v>
      </c>
      <c r="I33" s="16">
        <v>17</v>
      </c>
      <c r="K33" s="15" t="s">
        <v>102</v>
      </c>
      <c r="L33" s="16">
        <v>2000</v>
      </c>
      <c r="M33"/>
      <c r="N33"/>
    </row>
    <row r="34" spans="2:14" ht="15" x14ac:dyDescent="0.25">
      <c r="B34" s="15">
        <v>38</v>
      </c>
      <c r="C34" s="16">
        <v>11100</v>
      </c>
      <c r="D34" s="16">
        <v>584.21052631578948</v>
      </c>
      <c r="E34" s="17">
        <v>19</v>
      </c>
      <c r="G34" s="15" t="s">
        <v>1074</v>
      </c>
      <c r="H34" s="16">
        <v>5225</v>
      </c>
      <c r="I34" s="16">
        <v>11</v>
      </c>
      <c r="K34" s="15" t="s">
        <v>106</v>
      </c>
      <c r="L34" s="16">
        <v>2000</v>
      </c>
      <c r="M34"/>
    </row>
    <row r="35" spans="2:14" ht="15" x14ac:dyDescent="0.25">
      <c r="B35" s="15">
        <v>39</v>
      </c>
      <c r="C35" s="16">
        <v>4595</v>
      </c>
      <c r="D35" s="16">
        <v>255.27777777777777</v>
      </c>
      <c r="E35" s="17">
        <v>18</v>
      </c>
      <c r="G35" s="15" t="s">
        <v>1075</v>
      </c>
      <c r="H35" s="16">
        <v>7290</v>
      </c>
      <c r="I35" s="16">
        <v>10</v>
      </c>
      <c r="K35" s="15" t="s">
        <v>122</v>
      </c>
      <c r="L35" s="16">
        <v>2000</v>
      </c>
      <c r="M35"/>
    </row>
    <row r="36" spans="2:14" ht="15" x14ac:dyDescent="0.25">
      <c r="B36" s="15">
        <v>40</v>
      </c>
      <c r="C36" s="16">
        <v>9415</v>
      </c>
      <c r="D36" s="16">
        <v>392.29166666666669</v>
      </c>
      <c r="E36" s="17">
        <v>24</v>
      </c>
      <c r="G36" s="15" t="s">
        <v>1076</v>
      </c>
      <c r="H36" s="16">
        <v>4160</v>
      </c>
      <c r="I36" s="16">
        <v>13</v>
      </c>
      <c r="K36" s="15" t="s">
        <v>131</v>
      </c>
      <c r="L36" s="16">
        <v>2000</v>
      </c>
      <c r="M36"/>
    </row>
    <row r="37" spans="2:14" ht="15" x14ac:dyDescent="0.25">
      <c r="B37" s="15">
        <v>41</v>
      </c>
      <c r="C37" s="16">
        <v>5650</v>
      </c>
      <c r="D37" s="16">
        <v>269.04761904761904</v>
      </c>
      <c r="E37" s="17">
        <v>21</v>
      </c>
      <c r="G37" s="15" t="s">
        <v>1077</v>
      </c>
      <c r="H37" s="16">
        <v>5290</v>
      </c>
      <c r="I37" s="16">
        <v>9</v>
      </c>
      <c r="K37" s="15" t="s">
        <v>137</v>
      </c>
      <c r="L37" s="16">
        <v>2000</v>
      </c>
      <c r="M37"/>
    </row>
    <row r="38" spans="2:14" ht="15" x14ac:dyDescent="0.25">
      <c r="B38" s="15">
        <v>42</v>
      </c>
      <c r="C38" s="16">
        <v>8500</v>
      </c>
      <c r="D38" s="16">
        <v>326.92307692307691</v>
      </c>
      <c r="E38" s="17">
        <v>26</v>
      </c>
      <c r="G38" s="15" t="s">
        <v>1078</v>
      </c>
      <c r="H38" s="16">
        <v>5175</v>
      </c>
      <c r="I38" s="16">
        <v>17</v>
      </c>
      <c r="K38" s="15" t="s">
        <v>152</v>
      </c>
      <c r="L38" s="16">
        <v>2000</v>
      </c>
      <c r="M38"/>
    </row>
    <row r="39" spans="2:14" ht="15" x14ac:dyDescent="0.25">
      <c r="B39" s="15">
        <v>43</v>
      </c>
      <c r="C39" s="16">
        <v>17970</v>
      </c>
      <c r="D39" s="16">
        <v>579.67741935483866</v>
      </c>
      <c r="E39" s="17">
        <v>31</v>
      </c>
      <c r="G39" s="15" t="s">
        <v>1079</v>
      </c>
      <c r="H39" s="16">
        <v>4210</v>
      </c>
      <c r="I39" s="16">
        <v>8</v>
      </c>
      <c r="K39" s="15" t="s">
        <v>165</v>
      </c>
      <c r="L39" s="16">
        <v>2000</v>
      </c>
      <c r="M39"/>
    </row>
    <row r="40" spans="2:14" ht="15" x14ac:dyDescent="0.25">
      <c r="B40" s="15">
        <v>44</v>
      </c>
      <c r="C40" s="16">
        <v>7560</v>
      </c>
      <c r="D40" s="16">
        <v>504</v>
      </c>
      <c r="E40" s="17">
        <v>15</v>
      </c>
      <c r="G40" s="15" t="s">
        <v>1080</v>
      </c>
      <c r="H40" s="16">
        <v>6130</v>
      </c>
      <c r="I40" s="16">
        <v>11</v>
      </c>
      <c r="K40" s="15" t="s">
        <v>168</v>
      </c>
      <c r="L40" s="16">
        <v>2000</v>
      </c>
      <c r="M40"/>
    </row>
    <row r="41" spans="2:14" ht="15" x14ac:dyDescent="0.25">
      <c r="B41" s="15">
        <v>45</v>
      </c>
      <c r="C41" s="16">
        <v>6325</v>
      </c>
      <c r="D41" s="16">
        <v>372.05882352941177</v>
      </c>
      <c r="E41" s="17">
        <v>17</v>
      </c>
      <c r="G41" s="15" t="s">
        <v>1081</v>
      </c>
      <c r="H41" s="16">
        <v>6825</v>
      </c>
      <c r="I41" s="16">
        <v>13</v>
      </c>
      <c r="K41" s="15" t="s">
        <v>170</v>
      </c>
      <c r="L41" s="16">
        <v>2000</v>
      </c>
      <c r="M41"/>
    </row>
    <row r="42" spans="2:14" ht="15" x14ac:dyDescent="0.25">
      <c r="B42" s="15">
        <v>46</v>
      </c>
      <c r="C42" s="16">
        <v>13090</v>
      </c>
      <c r="D42" s="16">
        <v>523.6</v>
      </c>
      <c r="E42" s="17">
        <v>25</v>
      </c>
      <c r="G42" s="15" t="s">
        <v>1082</v>
      </c>
      <c r="H42" s="16">
        <v>5065</v>
      </c>
      <c r="I42" s="16">
        <v>13</v>
      </c>
      <c r="K42" s="15" t="s">
        <v>179</v>
      </c>
      <c r="L42" s="16">
        <v>2000</v>
      </c>
      <c r="M42"/>
    </row>
    <row r="43" spans="2:14" ht="15" x14ac:dyDescent="0.25">
      <c r="B43" s="15">
        <v>47</v>
      </c>
      <c r="C43" s="16">
        <v>12505</v>
      </c>
      <c r="D43" s="16">
        <v>480.96153846153845</v>
      </c>
      <c r="E43" s="17">
        <v>26</v>
      </c>
      <c r="G43" s="15" t="s">
        <v>1083</v>
      </c>
      <c r="H43" s="16">
        <v>6640</v>
      </c>
      <c r="I43" s="16">
        <v>9</v>
      </c>
      <c r="K43" s="15" t="s">
        <v>266</v>
      </c>
      <c r="L43" s="16">
        <v>2000</v>
      </c>
      <c r="M43"/>
    </row>
    <row r="44" spans="2:14" ht="15" x14ac:dyDescent="0.25">
      <c r="B44" s="15">
        <v>48</v>
      </c>
      <c r="C44" s="16">
        <v>7240</v>
      </c>
      <c r="D44" s="16">
        <v>402.22222222222223</v>
      </c>
      <c r="E44" s="17">
        <v>18</v>
      </c>
      <c r="G44" s="15" t="s">
        <v>1084</v>
      </c>
      <c r="H44" s="16">
        <v>2330</v>
      </c>
      <c r="I44" s="16">
        <v>11</v>
      </c>
      <c r="K44" s="15" t="s">
        <v>270</v>
      </c>
      <c r="L44" s="16">
        <v>2000</v>
      </c>
      <c r="M44"/>
    </row>
    <row r="45" spans="2:14" ht="15" x14ac:dyDescent="0.25">
      <c r="B45" s="15">
        <v>49</v>
      </c>
      <c r="C45" s="16">
        <v>5110</v>
      </c>
      <c r="D45" s="16">
        <v>268.94736842105266</v>
      </c>
      <c r="E45" s="17">
        <v>19</v>
      </c>
      <c r="G45" s="15" t="s">
        <v>1085</v>
      </c>
      <c r="H45" s="16">
        <v>16680</v>
      </c>
      <c r="I45" s="16">
        <v>28</v>
      </c>
      <c r="K45" s="15" t="s">
        <v>282</v>
      </c>
      <c r="L45" s="16">
        <v>2000</v>
      </c>
      <c r="M45"/>
    </row>
    <row r="46" spans="2:14" x14ac:dyDescent="0.2">
      <c r="B46" s="15">
        <v>50</v>
      </c>
      <c r="C46" s="16">
        <v>9845</v>
      </c>
      <c r="D46" s="16">
        <v>428.04347826086956</v>
      </c>
      <c r="E46" s="17">
        <v>23</v>
      </c>
      <c r="G46" s="15" t="s">
        <v>1086</v>
      </c>
      <c r="H46" s="16">
        <v>3540</v>
      </c>
      <c r="I46" s="16">
        <v>8</v>
      </c>
      <c r="K46" s="15" t="s">
        <v>294</v>
      </c>
      <c r="L46" s="16">
        <v>2000</v>
      </c>
    </row>
    <row r="47" spans="2:14" x14ac:dyDescent="0.2">
      <c r="B47" s="15">
        <v>51</v>
      </c>
      <c r="C47" s="16">
        <v>16065</v>
      </c>
      <c r="D47" s="16">
        <v>535.5</v>
      </c>
      <c r="E47" s="17">
        <v>30</v>
      </c>
      <c r="G47" s="15" t="s">
        <v>1087</v>
      </c>
      <c r="H47" s="16">
        <v>2700</v>
      </c>
      <c r="I47" s="16">
        <v>6</v>
      </c>
      <c r="K47" s="15" t="s">
        <v>355</v>
      </c>
      <c r="L47" s="16">
        <v>2000</v>
      </c>
    </row>
    <row r="48" spans="2:14" x14ac:dyDescent="0.2">
      <c r="B48" s="15">
        <v>52</v>
      </c>
      <c r="C48" s="16">
        <v>7040</v>
      </c>
      <c r="D48" s="16">
        <v>320</v>
      </c>
      <c r="E48" s="17">
        <v>22</v>
      </c>
      <c r="G48" s="15" t="s">
        <v>1088</v>
      </c>
      <c r="H48" s="16">
        <v>6980</v>
      </c>
      <c r="I48" s="16">
        <v>19</v>
      </c>
      <c r="K48" s="15" t="s">
        <v>425</v>
      </c>
      <c r="L48" s="16">
        <v>2000</v>
      </c>
    </row>
    <row r="49" spans="2:12" x14ac:dyDescent="0.2">
      <c r="B49" s="15">
        <v>53</v>
      </c>
      <c r="C49" s="16">
        <v>9510</v>
      </c>
      <c r="D49" s="16">
        <v>559.41176470588232</v>
      </c>
      <c r="E49" s="17">
        <v>17</v>
      </c>
      <c r="G49" s="15" t="s">
        <v>1089</v>
      </c>
      <c r="H49" s="16">
        <v>790</v>
      </c>
      <c r="I49" s="16">
        <v>5</v>
      </c>
      <c r="K49" s="15" t="s">
        <v>429</v>
      </c>
      <c r="L49" s="16">
        <v>2000</v>
      </c>
    </row>
    <row r="50" spans="2:12" x14ac:dyDescent="0.2">
      <c r="B50" s="15">
        <v>54</v>
      </c>
      <c r="C50" s="16">
        <v>10505</v>
      </c>
      <c r="D50" s="16">
        <v>375.17857142857144</v>
      </c>
      <c r="E50" s="17">
        <v>28</v>
      </c>
      <c r="G50" s="15" t="s">
        <v>1090</v>
      </c>
      <c r="H50" s="16">
        <v>8455</v>
      </c>
      <c r="I50" s="16">
        <v>18</v>
      </c>
      <c r="K50" s="15" t="s">
        <v>433</v>
      </c>
      <c r="L50" s="16">
        <v>2000</v>
      </c>
    </row>
    <row r="51" spans="2:12" x14ac:dyDescent="0.2">
      <c r="B51" s="15">
        <v>55</v>
      </c>
      <c r="C51" s="16">
        <v>9780</v>
      </c>
      <c r="D51" s="16">
        <v>465.71428571428572</v>
      </c>
      <c r="E51" s="17">
        <v>21</v>
      </c>
      <c r="G51" s="15" t="s">
        <v>1091</v>
      </c>
      <c r="H51" s="16">
        <v>4090</v>
      </c>
      <c r="I51" s="16">
        <v>15</v>
      </c>
      <c r="K51" s="15" t="s">
        <v>460</v>
      </c>
      <c r="L51" s="16">
        <v>2000</v>
      </c>
    </row>
    <row r="52" spans="2:12" x14ac:dyDescent="0.2">
      <c r="B52" s="15">
        <v>56</v>
      </c>
      <c r="C52" s="16">
        <v>9440</v>
      </c>
      <c r="D52" s="16">
        <v>496.84210526315792</v>
      </c>
      <c r="E52" s="17">
        <v>19</v>
      </c>
      <c r="G52" s="15" t="s">
        <v>1092</v>
      </c>
      <c r="H52" s="16">
        <v>5345</v>
      </c>
      <c r="I52" s="16">
        <v>16</v>
      </c>
      <c r="K52" s="15" t="s">
        <v>489</v>
      </c>
      <c r="L52" s="16">
        <v>2000</v>
      </c>
    </row>
    <row r="53" spans="2:12" x14ac:dyDescent="0.2">
      <c r="B53" s="15">
        <v>57</v>
      </c>
      <c r="C53" s="16">
        <v>9290</v>
      </c>
      <c r="D53" s="16">
        <v>309.66666666666669</v>
      </c>
      <c r="E53" s="17">
        <v>30</v>
      </c>
      <c r="G53" s="15" t="s">
        <v>1093</v>
      </c>
      <c r="H53" s="16">
        <v>1570</v>
      </c>
      <c r="I53" s="16">
        <v>7</v>
      </c>
      <c r="K53" s="15" t="s">
        <v>493</v>
      </c>
      <c r="L53" s="16">
        <v>2000</v>
      </c>
    </row>
    <row r="54" spans="2:12" x14ac:dyDescent="0.2">
      <c r="B54" s="15">
        <v>58</v>
      </c>
      <c r="C54" s="16">
        <v>7395</v>
      </c>
      <c r="D54" s="16">
        <v>528.21428571428567</v>
      </c>
      <c r="E54" s="17">
        <v>14</v>
      </c>
      <c r="G54" s="15" t="s">
        <v>1094</v>
      </c>
      <c r="H54" s="16">
        <v>5425</v>
      </c>
      <c r="I54" s="16">
        <v>12</v>
      </c>
      <c r="K54" s="15" t="s">
        <v>500</v>
      </c>
      <c r="L54" s="16">
        <v>2000</v>
      </c>
    </row>
    <row r="55" spans="2:12" x14ac:dyDescent="0.2">
      <c r="B55" s="15">
        <v>59</v>
      </c>
      <c r="C55" s="16">
        <v>9470</v>
      </c>
      <c r="D55" s="16">
        <v>557.05882352941171</v>
      </c>
      <c r="E55" s="17">
        <v>17</v>
      </c>
      <c r="G55" s="15" t="s">
        <v>1095</v>
      </c>
      <c r="H55" s="16">
        <v>3375</v>
      </c>
      <c r="I55" s="16">
        <v>11</v>
      </c>
      <c r="K55" s="15" t="s">
        <v>516</v>
      </c>
      <c r="L55" s="16">
        <v>2000</v>
      </c>
    </row>
    <row r="56" spans="2:12" x14ac:dyDescent="0.2">
      <c r="B56" s="15">
        <v>60</v>
      </c>
      <c r="C56" s="16">
        <v>11590</v>
      </c>
      <c r="D56" s="16">
        <v>526.81818181818187</v>
      </c>
      <c r="E56" s="17">
        <v>22</v>
      </c>
      <c r="G56" s="15" t="s">
        <v>1096</v>
      </c>
      <c r="H56" s="16">
        <v>6685</v>
      </c>
      <c r="I56" s="16">
        <v>16</v>
      </c>
      <c r="K56" s="15" t="s">
        <v>560</v>
      </c>
      <c r="L56" s="16">
        <v>2000</v>
      </c>
    </row>
    <row r="57" spans="2:12" x14ac:dyDescent="0.2">
      <c r="B57" s="15">
        <v>61</v>
      </c>
      <c r="C57" s="16">
        <v>6730</v>
      </c>
      <c r="D57" s="16">
        <v>373.88888888888891</v>
      </c>
      <c r="E57" s="17">
        <v>18</v>
      </c>
      <c r="G57" s="15" t="s">
        <v>1097</v>
      </c>
      <c r="H57" s="16">
        <v>7900</v>
      </c>
      <c r="I57" s="16">
        <v>14</v>
      </c>
      <c r="K57" s="15" t="s">
        <v>574</v>
      </c>
      <c r="L57" s="16">
        <v>2000</v>
      </c>
    </row>
    <row r="58" spans="2:12" x14ac:dyDescent="0.2">
      <c r="B58" s="15">
        <v>62</v>
      </c>
      <c r="C58" s="16">
        <v>8120</v>
      </c>
      <c r="D58" s="16">
        <v>300.74074074074076</v>
      </c>
      <c r="E58" s="17">
        <v>27</v>
      </c>
      <c r="G58" s="15" t="s">
        <v>1098</v>
      </c>
      <c r="H58" s="16">
        <v>1525</v>
      </c>
      <c r="I58" s="16">
        <v>6</v>
      </c>
      <c r="K58" s="15" t="s">
        <v>585</v>
      </c>
      <c r="L58" s="16">
        <v>2000</v>
      </c>
    </row>
    <row r="59" spans="2:12" x14ac:dyDescent="0.2">
      <c r="B59" s="15">
        <v>63</v>
      </c>
      <c r="C59" s="16">
        <v>9250</v>
      </c>
      <c r="D59" s="16">
        <v>544.11764705882354</v>
      </c>
      <c r="E59" s="17">
        <v>17</v>
      </c>
      <c r="G59" s="15" t="s">
        <v>1099</v>
      </c>
      <c r="H59" s="16">
        <v>3870</v>
      </c>
      <c r="I59" s="16">
        <v>12</v>
      </c>
      <c r="K59" s="15" t="s">
        <v>590</v>
      </c>
      <c r="L59" s="16">
        <v>2000</v>
      </c>
    </row>
    <row r="60" spans="2:12" x14ac:dyDescent="0.2">
      <c r="B60" s="15">
        <v>64</v>
      </c>
      <c r="C60" s="16">
        <v>9125</v>
      </c>
      <c r="D60" s="16">
        <v>294.35483870967744</v>
      </c>
      <c r="E60" s="17">
        <v>31</v>
      </c>
      <c r="G60" s="15" t="s">
        <v>1100</v>
      </c>
      <c r="H60" s="16">
        <v>2790</v>
      </c>
      <c r="I60" s="16">
        <v>8</v>
      </c>
      <c r="K60" s="15" t="s">
        <v>605</v>
      </c>
      <c r="L60" s="16">
        <v>2000</v>
      </c>
    </row>
    <row r="61" spans="2:12" x14ac:dyDescent="0.2">
      <c r="B61" s="15" t="s">
        <v>1036</v>
      </c>
      <c r="C61" s="16">
        <v>456000</v>
      </c>
      <c r="D61" s="16">
        <v>456</v>
      </c>
      <c r="E61" s="17">
        <v>1000</v>
      </c>
      <c r="G61" s="15" t="s">
        <v>1101</v>
      </c>
      <c r="H61" s="16">
        <v>1815</v>
      </c>
      <c r="I61" s="16">
        <v>6</v>
      </c>
      <c r="K61" s="15" t="s">
        <v>608</v>
      </c>
      <c r="L61" s="16">
        <v>2000</v>
      </c>
    </row>
    <row r="62" spans="2:12" x14ac:dyDescent="0.2">
      <c r="G62" s="15" t="s">
        <v>1102</v>
      </c>
      <c r="H62" s="16">
        <v>10785</v>
      </c>
      <c r="I62" s="16">
        <v>17</v>
      </c>
      <c r="K62" s="15" t="s">
        <v>639</v>
      </c>
      <c r="L62" s="16">
        <v>2000</v>
      </c>
    </row>
    <row r="63" spans="2:12" x14ac:dyDescent="0.2">
      <c r="G63" s="15" t="s">
        <v>1103</v>
      </c>
      <c r="H63" s="16">
        <v>7315</v>
      </c>
      <c r="I63" s="16">
        <v>15</v>
      </c>
      <c r="K63" s="15" t="s">
        <v>647</v>
      </c>
      <c r="L63" s="16">
        <v>2000</v>
      </c>
    </row>
    <row r="64" spans="2:12" x14ac:dyDescent="0.2">
      <c r="G64" s="15" t="s">
        <v>1104</v>
      </c>
      <c r="H64" s="16">
        <v>5715</v>
      </c>
      <c r="I64" s="16">
        <v>15</v>
      </c>
      <c r="K64" s="15" t="s">
        <v>677</v>
      </c>
      <c r="L64" s="16">
        <v>2000</v>
      </c>
    </row>
    <row r="65" spans="7:12" x14ac:dyDescent="0.2">
      <c r="G65" s="15" t="s">
        <v>1105</v>
      </c>
      <c r="H65" s="16">
        <v>4810</v>
      </c>
      <c r="I65" s="16">
        <v>12</v>
      </c>
      <c r="K65" s="15" t="s">
        <v>713</v>
      </c>
      <c r="L65" s="16">
        <v>2000</v>
      </c>
    </row>
    <row r="66" spans="7:12" x14ac:dyDescent="0.2">
      <c r="G66" s="15" t="s">
        <v>1106</v>
      </c>
      <c r="H66" s="16">
        <v>6885</v>
      </c>
      <c r="I66" s="16">
        <v>12</v>
      </c>
      <c r="K66" s="15" t="s">
        <v>744</v>
      </c>
      <c r="L66" s="16">
        <v>2000</v>
      </c>
    </row>
    <row r="67" spans="7:12" x14ac:dyDescent="0.2">
      <c r="G67" s="15" t="s">
        <v>1107</v>
      </c>
      <c r="H67" s="16">
        <v>4745</v>
      </c>
      <c r="I67" s="16">
        <v>8</v>
      </c>
      <c r="K67" s="15" t="s">
        <v>748</v>
      </c>
      <c r="L67" s="16">
        <v>2000</v>
      </c>
    </row>
    <row r="68" spans="7:12" x14ac:dyDescent="0.2">
      <c r="G68" s="15" t="s">
        <v>1108</v>
      </c>
      <c r="H68" s="16">
        <v>9735</v>
      </c>
      <c r="I68" s="16">
        <v>16</v>
      </c>
      <c r="K68" s="15" t="s">
        <v>755</v>
      </c>
      <c r="L68" s="16">
        <v>2000</v>
      </c>
    </row>
    <row r="69" spans="7:12" x14ac:dyDescent="0.2">
      <c r="G69" s="15" t="s">
        <v>1109</v>
      </c>
      <c r="H69" s="16">
        <v>4715</v>
      </c>
      <c r="I69" s="16">
        <v>13</v>
      </c>
      <c r="K69" s="15" t="s">
        <v>756</v>
      </c>
      <c r="L69" s="16">
        <v>2000</v>
      </c>
    </row>
    <row r="70" spans="7:12" x14ac:dyDescent="0.2">
      <c r="G70" s="15" t="s">
        <v>1110</v>
      </c>
      <c r="H70" s="16">
        <v>11445</v>
      </c>
      <c r="I70" s="16">
        <v>15</v>
      </c>
      <c r="K70" s="15" t="s">
        <v>786</v>
      </c>
      <c r="L70" s="16">
        <v>2000</v>
      </c>
    </row>
    <row r="71" spans="7:12" x14ac:dyDescent="0.2">
      <c r="G71" s="15" t="s">
        <v>1111</v>
      </c>
      <c r="H71" s="16">
        <v>5695</v>
      </c>
      <c r="I71" s="16">
        <v>12</v>
      </c>
      <c r="K71" s="15" t="s">
        <v>802</v>
      </c>
      <c r="L71" s="16">
        <v>2000</v>
      </c>
    </row>
    <row r="72" spans="7:12" x14ac:dyDescent="0.2">
      <c r="G72" s="15" t="s">
        <v>1112</v>
      </c>
      <c r="H72" s="16">
        <v>9690</v>
      </c>
      <c r="I72" s="16">
        <v>19</v>
      </c>
      <c r="K72" s="15" t="s">
        <v>821</v>
      </c>
      <c r="L72" s="16">
        <v>2000</v>
      </c>
    </row>
    <row r="73" spans="7:12" x14ac:dyDescent="0.2">
      <c r="G73" s="15" t="s">
        <v>1113</v>
      </c>
      <c r="H73" s="16">
        <v>6720</v>
      </c>
      <c r="I73" s="16">
        <v>12</v>
      </c>
      <c r="K73" s="15" t="s">
        <v>845</v>
      </c>
      <c r="L73" s="16">
        <v>2000</v>
      </c>
    </row>
    <row r="74" spans="7:12" x14ac:dyDescent="0.2">
      <c r="G74" s="15" t="s">
        <v>1114</v>
      </c>
      <c r="H74" s="16">
        <v>2660</v>
      </c>
      <c r="I74" s="16">
        <v>7</v>
      </c>
      <c r="K74" s="15" t="s">
        <v>888</v>
      </c>
      <c r="L74" s="16">
        <v>2000</v>
      </c>
    </row>
    <row r="75" spans="7:12" x14ac:dyDescent="0.2">
      <c r="G75" s="15" t="s">
        <v>1115</v>
      </c>
      <c r="H75" s="16">
        <v>1780</v>
      </c>
      <c r="I75" s="16">
        <v>6</v>
      </c>
      <c r="K75" s="15" t="s">
        <v>940</v>
      </c>
      <c r="L75" s="16">
        <v>2000</v>
      </c>
    </row>
    <row r="76" spans="7:12" x14ac:dyDescent="0.2">
      <c r="G76" s="15" t="s">
        <v>1116</v>
      </c>
      <c r="H76" s="16">
        <v>9935</v>
      </c>
      <c r="I76" s="16">
        <v>18</v>
      </c>
      <c r="K76" s="15" t="s">
        <v>959</v>
      </c>
      <c r="L76" s="16">
        <v>2000</v>
      </c>
    </row>
    <row r="77" spans="7:12" x14ac:dyDescent="0.2">
      <c r="G77" s="15" t="s">
        <v>1117</v>
      </c>
      <c r="H77" s="16">
        <v>2910</v>
      </c>
      <c r="I77" s="16">
        <v>11</v>
      </c>
      <c r="K77" s="15" t="s">
        <v>983</v>
      </c>
      <c r="L77" s="16">
        <v>2000</v>
      </c>
    </row>
    <row r="78" spans="7:12" x14ac:dyDescent="0.2">
      <c r="G78" s="15" t="s">
        <v>1118</v>
      </c>
      <c r="H78" s="16">
        <v>12220</v>
      </c>
      <c r="I78" s="16">
        <v>15</v>
      </c>
      <c r="K78" s="15" t="s">
        <v>1036</v>
      </c>
      <c r="L78" s="16">
        <v>98000</v>
      </c>
    </row>
    <row r="79" spans="7:12" x14ac:dyDescent="0.2">
      <c r="G79" s="15" t="s">
        <v>1119</v>
      </c>
      <c r="H79" s="16">
        <v>3670</v>
      </c>
      <c r="I79" s="16">
        <v>13</v>
      </c>
      <c r="K79"/>
      <c r="L79"/>
    </row>
    <row r="80" spans="7:12" x14ac:dyDescent="0.2">
      <c r="G80" s="15" t="s">
        <v>1120</v>
      </c>
      <c r="H80" s="16">
        <v>305</v>
      </c>
      <c r="I80" s="16">
        <v>5</v>
      </c>
      <c r="K80"/>
      <c r="L80"/>
    </row>
    <row r="81" spans="7:12" x14ac:dyDescent="0.2">
      <c r="G81" s="15" t="s">
        <v>1121</v>
      </c>
      <c r="H81" s="16">
        <v>4990</v>
      </c>
      <c r="I81" s="16">
        <v>12</v>
      </c>
      <c r="K81"/>
      <c r="L81"/>
    </row>
    <row r="82" spans="7:12" x14ac:dyDescent="0.2">
      <c r="G82" s="15" t="s">
        <v>1122</v>
      </c>
      <c r="H82" s="16">
        <v>3400</v>
      </c>
      <c r="I82" s="16">
        <v>12</v>
      </c>
      <c r="K82"/>
      <c r="L82"/>
    </row>
    <row r="83" spans="7:12" x14ac:dyDescent="0.2">
      <c r="G83" s="15" t="s">
        <v>1123</v>
      </c>
      <c r="H83" s="16">
        <v>9575</v>
      </c>
      <c r="I83" s="16">
        <v>16</v>
      </c>
      <c r="K83"/>
      <c r="L83"/>
    </row>
    <row r="84" spans="7:12" x14ac:dyDescent="0.2">
      <c r="G84" s="15" t="s">
        <v>1124</v>
      </c>
      <c r="H84" s="16">
        <v>3185</v>
      </c>
      <c r="I84" s="16">
        <v>13</v>
      </c>
      <c r="K84"/>
      <c r="L84"/>
    </row>
    <row r="85" spans="7:12" x14ac:dyDescent="0.2">
      <c r="G85" s="15" t="s">
        <v>1125</v>
      </c>
      <c r="H85" s="16">
        <v>5265</v>
      </c>
      <c r="I85" s="16">
        <v>15</v>
      </c>
      <c r="K85"/>
      <c r="L85"/>
    </row>
    <row r="86" spans="7:12" x14ac:dyDescent="0.2">
      <c r="G86" s="15" t="s">
        <v>1126</v>
      </c>
      <c r="H86" s="16">
        <v>6375</v>
      </c>
      <c r="I86" s="16">
        <v>8</v>
      </c>
      <c r="K86"/>
      <c r="L86"/>
    </row>
    <row r="87" spans="7:12" x14ac:dyDescent="0.2">
      <c r="G87" s="15" t="s">
        <v>1127</v>
      </c>
      <c r="H87" s="16">
        <v>5035</v>
      </c>
      <c r="I87" s="16">
        <v>10</v>
      </c>
      <c r="K87"/>
      <c r="L87"/>
    </row>
    <row r="88" spans="7:12" x14ac:dyDescent="0.2">
      <c r="G88" s="15" t="s">
        <v>1128</v>
      </c>
      <c r="H88" s="16">
        <v>9360</v>
      </c>
      <c r="I88" s="16">
        <v>13</v>
      </c>
      <c r="K88"/>
      <c r="L88"/>
    </row>
    <row r="89" spans="7:12" x14ac:dyDescent="0.2">
      <c r="G89" s="15" t="s">
        <v>1036</v>
      </c>
      <c r="H89" s="16">
        <v>456000</v>
      </c>
      <c r="I89" s="16">
        <v>1000</v>
      </c>
      <c r="K89"/>
      <c r="L89"/>
    </row>
    <row r="90" spans="7:12" x14ac:dyDescent="0.2">
      <c r="K90"/>
      <c r="L90"/>
    </row>
    <row r="91" spans="7:12" x14ac:dyDescent="0.2">
      <c r="K91"/>
      <c r="L91"/>
    </row>
    <row r="92" spans="7:12" x14ac:dyDescent="0.2">
      <c r="K92"/>
      <c r="L92"/>
    </row>
    <row r="93" spans="7:12" x14ac:dyDescent="0.2">
      <c r="K93"/>
      <c r="L93"/>
    </row>
    <row r="94" spans="7:12" x14ac:dyDescent="0.2">
      <c r="K94"/>
      <c r="L94"/>
    </row>
    <row r="95" spans="7:12" x14ac:dyDescent="0.2">
      <c r="K95"/>
      <c r="L95"/>
    </row>
    <row r="96" spans="7:12" x14ac:dyDescent="0.2">
      <c r="K96"/>
      <c r="L96"/>
    </row>
    <row r="97" spans="11:12" x14ac:dyDescent="0.2">
      <c r="K97"/>
      <c r="L97"/>
    </row>
    <row r="98" spans="11:12" x14ac:dyDescent="0.2">
      <c r="K98"/>
      <c r="L98"/>
    </row>
    <row r="99" spans="11:12" x14ac:dyDescent="0.2">
      <c r="K99"/>
      <c r="L99"/>
    </row>
    <row r="100" spans="11:12" x14ac:dyDescent="0.2">
      <c r="K100"/>
      <c r="L100"/>
    </row>
    <row r="101" spans="11:12" x14ac:dyDescent="0.2">
      <c r="K101"/>
      <c r="L101"/>
    </row>
    <row r="102" spans="11:12" x14ac:dyDescent="0.2">
      <c r="K102"/>
      <c r="L102"/>
    </row>
    <row r="103" spans="11:12" x14ac:dyDescent="0.2">
      <c r="K103"/>
      <c r="L103"/>
    </row>
    <row r="104" spans="11:12" x14ac:dyDescent="0.2">
      <c r="K104"/>
      <c r="L104"/>
    </row>
    <row r="105" spans="11:12" x14ac:dyDescent="0.2">
      <c r="K105"/>
      <c r="L105"/>
    </row>
    <row r="106" spans="11:12" x14ac:dyDescent="0.2">
      <c r="K106"/>
      <c r="L106"/>
    </row>
    <row r="107" spans="11:12" x14ac:dyDescent="0.2">
      <c r="K107"/>
      <c r="L107"/>
    </row>
    <row r="108" spans="11:12" x14ac:dyDescent="0.2">
      <c r="K108"/>
      <c r="L108"/>
    </row>
    <row r="109" spans="11:12" x14ac:dyDescent="0.2">
      <c r="K109"/>
      <c r="L109"/>
    </row>
    <row r="110" spans="11:12" x14ac:dyDescent="0.2">
      <c r="K110"/>
      <c r="L110"/>
    </row>
    <row r="111" spans="11:12" x14ac:dyDescent="0.2">
      <c r="K111"/>
      <c r="L111"/>
    </row>
    <row r="112" spans="11:12" x14ac:dyDescent="0.2">
      <c r="K112"/>
      <c r="L112"/>
    </row>
    <row r="113" spans="11:12" x14ac:dyDescent="0.2">
      <c r="K113"/>
      <c r="L113"/>
    </row>
    <row r="114" spans="11:12" x14ac:dyDescent="0.2">
      <c r="K114"/>
      <c r="L114"/>
    </row>
    <row r="115" spans="11:12" x14ac:dyDescent="0.2">
      <c r="K115"/>
      <c r="L115"/>
    </row>
    <row r="116" spans="11:12" x14ac:dyDescent="0.2">
      <c r="K116"/>
      <c r="L116"/>
    </row>
    <row r="117" spans="11:12" x14ac:dyDescent="0.2">
      <c r="K117"/>
      <c r="L117"/>
    </row>
    <row r="118" spans="11:12" x14ac:dyDescent="0.2">
      <c r="K118"/>
      <c r="L118"/>
    </row>
    <row r="119" spans="11:12" x14ac:dyDescent="0.2">
      <c r="K119"/>
      <c r="L119"/>
    </row>
    <row r="120" spans="11:12" x14ac:dyDescent="0.2">
      <c r="K120"/>
      <c r="L120"/>
    </row>
    <row r="121" spans="11:12" x14ac:dyDescent="0.2">
      <c r="K121"/>
      <c r="L121"/>
    </row>
    <row r="122" spans="11:12" x14ac:dyDescent="0.2">
      <c r="K122"/>
      <c r="L122"/>
    </row>
    <row r="123" spans="11:12" x14ac:dyDescent="0.2">
      <c r="K123"/>
      <c r="L123"/>
    </row>
    <row r="124" spans="11:12" x14ac:dyDescent="0.2">
      <c r="K124"/>
      <c r="L124"/>
    </row>
    <row r="125" spans="11:12" x14ac:dyDescent="0.2">
      <c r="K125"/>
      <c r="L125"/>
    </row>
    <row r="126" spans="11:12" x14ac:dyDescent="0.2">
      <c r="K126"/>
      <c r="L126"/>
    </row>
    <row r="127" spans="11:12" x14ac:dyDescent="0.2">
      <c r="K127"/>
      <c r="L127"/>
    </row>
    <row r="128" spans="11:12" x14ac:dyDescent="0.2">
      <c r="K128"/>
      <c r="L128"/>
    </row>
    <row r="129" spans="11:12" x14ac:dyDescent="0.2">
      <c r="K129"/>
      <c r="L129"/>
    </row>
    <row r="130" spans="11:12" x14ac:dyDescent="0.2">
      <c r="K130"/>
      <c r="L130"/>
    </row>
    <row r="131" spans="11:12" x14ac:dyDescent="0.2">
      <c r="K131"/>
      <c r="L131"/>
    </row>
    <row r="132" spans="11:12" x14ac:dyDescent="0.2">
      <c r="K132"/>
      <c r="L132"/>
    </row>
    <row r="133" spans="11:12" x14ac:dyDescent="0.2">
      <c r="K133"/>
      <c r="L133"/>
    </row>
    <row r="134" spans="11:12" x14ac:dyDescent="0.2">
      <c r="K134"/>
      <c r="L134"/>
    </row>
    <row r="135" spans="11:12" x14ac:dyDescent="0.2">
      <c r="K135"/>
      <c r="L135"/>
    </row>
    <row r="136" spans="11:12" x14ac:dyDescent="0.2">
      <c r="K136"/>
      <c r="L136"/>
    </row>
    <row r="137" spans="11:12" x14ac:dyDescent="0.2">
      <c r="K137"/>
      <c r="L137"/>
    </row>
    <row r="138" spans="11:12" x14ac:dyDescent="0.2">
      <c r="K138"/>
      <c r="L138"/>
    </row>
    <row r="139" spans="11:12" x14ac:dyDescent="0.2">
      <c r="K139"/>
      <c r="L139"/>
    </row>
    <row r="140" spans="11:12" x14ac:dyDescent="0.2">
      <c r="K140"/>
      <c r="L140"/>
    </row>
    <row r="141" spans="11:12" x14ac:dyDescent="0.2">
      <c r="K141"/>
      <c r="L141"/>
    </row>
    <row r="142" spans="11:12" x14ac:dyDescent="0.2">
      <c r="K142"/>
      <c r="L142"/>
    </row>
    <row r="143" spans="11:12" x14ac:dyDescent="0.2">
      <c r="K143"/>
      <c r="L143"/>
    </row>
    <row r="144" spans="11:12" x14ac:dyDescent="0.2">
      <c r="K144"/>
      <c r="L144"/>
    </row>
    <row r="145" spans="11:12" x14ac:dyDescent="0.2">
      <c r="K145"/>
      <c r="L145"/>
    </row>
    <row r="146" spans="11:12" x14ac:dyDescent="0.2">
      <c r="K146"/>
      <c r="L146"/>
    </row>
    <row r="147" spans="11:12" x14ac:dyDescent="0.2">
      <c r="K147"/>
      <c r="L147"/>
    </row>
    <row r="148" spans="11:12" x14ac:dyDescent="0.2">
      <c r="K148"/>
      <c r="L148"/>
    </row>
    <row r="149" spans="11:12" x14ac:dyDescent="0.2">
      <c r="K149"/>
      <c r="L149"/>
    </row>
    <row r="150" spans="11:12" x14ac:dyDescent="0.2">
      <c r="K150"/>
      <c r="L150"/>
    </row>
    <row r="151" spans="11:12" x14ac:dyDescent="0.2">
      <c r="K151"/>
      <c r="L151"/>
    </row>
    <row r="152" spans="11:12" x14ac:dyDescent="0.2">
      <c r="K152"/>
      <c r="L152"/>
    </row>
    <row r="153" spans="11:12" x14ac:dyDescent="0.2">
      <c r="K153"/>
      <c r="L153"/>
    </row>
    <row r="154" spans="11:12" x14ac:dyDescent="0.2">
      <c r="K154"/>
      <c r="L154"/>
    </row>
    <row r="155" spans="11:12" x14ac:dyDescent="0.2">
      <c r="K155"/>
      <c r="L155"/>
    </row>
    <row r="156" spans="11:12" x14ac:dyDescent="0.2">
      <c r="K156"/>
      <c r="L156"/>
    </row>
    <row r="157" spans="11:12" x14ac:dyDescent="0.2">
      <c r="K157"/>
      <c r="L157"/>
    </row>
    <row r="158" spans="11:12" x14ac:dyDescent="0.2">
      <c r="K158"/>
      <c r="L158"/>
    </row>
    <row r="159" spans="11:12" x14ac:dyDescent="0.2">
      <c r="K159"/>
      <c r="L159"/>
    </row>
    <row r="160" spans="11:12" x14ac:dyDescent="0.2">
      <c r="K160"/>
      <c r="L160"/>
    </row>
    <row r="161" spans="11:12" x14ac:dyDescent="0.2">
      <c r="K161"/>
      <c r="L161"/>
    </row>
    <row r="162" spans="11:12" x14ac:dyDescent="0.2">
      <c r="K162"/>
      <c r="L162"/>
    </row>
    <row r="163" spans="11:12" x14ac:dyDescent="0.2">
      <c r="K163"/>
      <c r="L163"/>
    </row>
    <row r="164" spans="11:12" x14ac:dyDescent="0.2">
      <c r="K164"/>
      <c r="L164"/>
    </row>
    <row r="165" spans="11:12" x14ac:dyDescent="0.2">
      <c r="K165"/>
      <c r="L165"/>
    </row>
    <row r="166" spans="11:12" x14ac:dyDescent="0.2">
      <c r="K166"/>
      <c r="L166"/>
    </row>
    <row r="167" spans="11:12" x14ac:dyDescent="0.2">
      <c r="K167"/>
      <c r="L167"/>
    </row>
    <row r="168" spans="11:12" x14ac:dyDescent="0.2">
      <c r="K168"/>
      <c r="L168"/>
    </row>
    <row r="169" spans="11:12" x14ac:dyDescent="0.2">
      <c r="K169"/>
      <c r="L169"/>
    </row>
    <row r="170" spans="11:12" x14ac:dyDescent="0.2">
      <c r="K170"/>
      <c r="L170"/>
    </row>
    <row r="171" spans="11:12" x14ac:dyDescent="0.2">
      <c r="K171"/>
      <c r="L171"/>
    </row>
    <row r="172" spans="11:12" x14ac:dyDescent="0.2">
      <c r="K172"/>
      <c r="L172"/>
    </row>
    <row r="173" spans="11:12" x14ac:dyDescent="0.2">
      <c r="K173"/>
      <c r="L173"/>
    </row>
    <row r="174" spans="11:12" x14ac:dyDescent="0.2">
      <c r="K174"/>
      <c r="L174"/>
    </row>
    <row r="175" spans="11:12" x14ac:dyDescent="0.2">
      <c r="K175"/>
      <c r="L175"/>
    </row>
    <row r="176" spans="11:12" x14ac:dyDescent="0.2">
      <c r="K176"/>
      <c r="L176"/>
    </row>
    <row r="177" spans="11:12" x14ac:dyDescent="0.2">
      <c r="K177"/>
      <c r="L177"/>
    </row>
    <row r="178" spans="11:12" x14ac:dyDescent="0.2">
      <c r="K178"/>
      <c r="L178"/>
    </row>
    <row r="179" spans="11:12" x14ac:dyDescent="0.2">
      <c r="K179"/>
      <c r="L179"/>
    </row>
    <row r="180" spans="11:12" x14ac:dyDescent="0.2">
      <c r="K180"/>
      <c r="L180"/>
    </row>
    <row r="181" spans="11:12" x14ac:dyDescent="0.2">
      <c r="K181"/>
      <c r="L181"/>
    </row>
    <row r="182" spans="11:12" x14ac:dyDescent="0.2">
      <c r="K182"/>
      <c r="L182"/>
    </row>
    <row r="183" spans="11:12" x14ac:dyDescent="0.2">
      <c r="K183"/>
      <c r="L183"/>
    </row>
    <row r="184" spans="11:12" x14ac:dyDescent="0.2">
      <c r="K184"/>
      <c r="L184"/>
    </row>
    <row r="185" spans="11:12" x14ac:dyDescent="0.2">
      <c r="K185"/>
      <c r="L185"/>
    </row>
    <row r="186" spans="11:12" x14ac:dyDescent="0.2">
      <c r="K186"/>
      <c r="L186"/>
    </row>
    <row r="187" spans="11:12" x14ac:dyDescent="0.2">
      <c r="K187"/>
      <c r="L187"/>
    </row>
    <row r="188" spans="11:12" x14ac:dyDescent="0.2">
      <c r="K188"/>
      <c r="L188"/>
    </row>
    <row r="189" spans="11:12" x14ac:dyDescent="0.2">
      <c r="K189"/>
      <c r="L189"/>
    </row>
    <row r="190" spans="11:12" x14ac:dyDescent="0.2">
      <c r="K190"/>
      <c r="L190"/>
    </row>
    <row r="191" spans="11:12" x14ac:dyDescent="0.2">
      <c r="K191"/>
      <c r="L191"/>
    </row>
    <row r="192" spans="11:12" x14ac:dyDescent="0.2">
      <c r="K192"/>
      <c r="L192"/>
    </row>
    <row r="193" spans="11:12" x14ac:dyDescent="0.2">
      <c r="K193"/>
      <c r="L193"/>
    </row>
    <row r="194" spans="11:12" x14ac:dyDescent="0.2">
      <c r="K194"/>
      <c r="L194"/>
    </row>
    <row r="195" spans="11:12" x14ac:dyDescent="0.2">
      <c r="K195"/>
      <c r="L195"/>
    </row>
    <row r="196" spans="11:12" x14ac:dyDescent="0.2">
      <c r="K196"/>
      <c r="L196"/>
    </row>
    <row r="197" spans="11:12" x14ac:dyDescent="0.2">
      <c r="K197"/>
      <c r="L197"/>
    </row>
    <row r="198" spans="11:12" x14ac:dyDescent="0.2">
      <c r="K198"/>
      <c r="L198"/>
    </row>
    <row r="199" spans="11:12" x14ac:dyDescent="0.2">
      <c r="K199"/>
      <c r="L199"/>
    </row>
    <row r="200" spans="11:12" x14ac:dyDescent="0.2">
      <c r="K200"/>
      <c r="L200"/>
    </row>
    <row r="201" spans="11:12" x14ac:dyDescent="0.2">
      <c r="K201"/>
      <c r="L201"/>
    </row>
    <row r="202" spans="11:12" x14ac:dyDescent="0.2">
      <c r="K202"/>
      <c r="L202"/>
    </row>
    <row r="203" spans="11:12" x14ac:dyDescent="0.2">
      <c r="K203"/>
      <c r="L203"/>
    </row>
    <row r="204" spans="11:12" x14ac:dyDescent="0.2">
      <c r="K204"/>
      <c r="L204"/>
    </row>
    <row r="205" spans="11:12" x14ac:dyDescent="0.2">
      <c r="K205"/>
      <c r="L205"/>
    </row>
    <row r="206" spans="11:12" x14ac:dyDescent="0.2">
      <c r="K206"/>
      <c r="L206"/>
    </row>
    <row r="207" spans="11:12" x14ac:dyDescent="0.2">
      <c r="K207"/>
      <c r="L207"/>
    </row>
    <row r="208" spans="11:12" x14ac:dyDescent="0.2">
      <c r="K208"/>
      <c r="L208"/>
    </row>
    <row r="209" spans="11:12" x14ac:dyDescent="0.2">
      <c r="K209"/>
      <c r="L209"/>
    </row>
    <row r="210" spans="11:12" x14ac:dyDescent="0.2">
      <c r="K210"/>
      <c r="L210"/>
    </row>
    <row r="211" spans="11:12" x14ac:dyDescent="0.2">
      <c r="K211"/>
      <c r="L211"/>
    </row>
    <row r="212" spans="11:12" x14ac:dyDescent="0.2">
      <c r="K212"/>
      <c r="L212"/>
    </row>
    <row r="213" spans="11:12" x14ac:dyDescent="0.2">
      <c r="K213"/>
      <c r="L213"/>
    </row>
    <row r="214" spans="11:12" x14ac:dyDescent="0.2">
      <c r="K214"/>
      <c r="L214"/>
    </row>
    <row r="215" spans="11:12" x14ac:dyDescent="0.2">
      <c r="K215"/>
      <c r="L215"/>
    </row>
    <row r="216" spans="11:12" x14ac:dyDescent="0.2">
      <c r="K216"/>
      <c r="L216"/>
    </row>
    <row r="217" spans="11:12" x14ac:dyDescent="0.2">
      <c r="K217"/>
      <c r="L217"/>
    </row>
    <row r="218" spans="11:12" x14ac:dyDescent="0.2">
      <c r="K218"/>
      <c r="L218"/>
    </row>
    <row r="219" spans="11:12" x14ac:dyDescent="0.2">
      <c r="K219"/>
      <c r="L219"/>
    </row>
    <row r="220" spans="11:12" x14ac:dyDescent="0.2">
      <c r="K220"/>
      <c r="L220"/>
    </row>
    <row r="221" spans="11:12" x14ac:dyDescent="0.2">
      <c r="K221"/>
      <c r="L221"/>
    </row>
    <row r="222" spans="11:12" x14ac:dyDescent="0.2">
      <c r="K222"/>
      <c r="L222"/>
    </row>
    <row r="223" spans="11:12" x14ac:dyDescent="0.2">
      <c r="K223"/>
      <c r="L223"/>
    </row>
    <row r="224" spans="11:12" x14ac:dyDescent="0.2">
      <c r="K224"/>
      <c r="L224"/>
    </row>
    <row r="225" spans="11:12" x14ac:dyDescent="0.2">
      <c r="K225"/>
      <c r="L225"/>
    </row>
    <row r="226" spans="11:12" x14ac:dyDescent="0.2">
      <c r="K226"/>
      <c r="L226"/>
    </row>
    <row r="227" spans="11:12" x14ac:dyDescent="0.2">
      <c r="K227"/>
      <c r="L227"/>
    </row>
    <row r="228" spans="11:12" x14ac:dyDescent="0.2">
      <c r="K228"/>
      <c r="L228"/>
    </row>
    <row r="229" spans="11:12" x14ac:dyDescent="0.2">
      <c r="K229"/>
      <c r="L229"/>
    </row>
    <row r="230" spans="11:12" x14ac:dyDescent="0.2">
      <c r="K230"/>
      <c r="L230"/>
    </row>
    <row r="231" spans="11:12" x14ac:dyDescent="0.2">
      <c r="K231"/>
      <c r="L231"/>
    </row>
    <row r="232" spans="11:12" x14ac:dyDescent="0.2">
      <c r="K232"/>
      <c r="L232"/>
    </row>
    <row r="233" spans="11:12" x14ac:dyDescent="0.2">
      <c r="K233"/>
      <c r="L233"/>
    </row>
    <row r="234" spans="11:12" x14ac:dyDescent="0.2">
      <c r="K234"/>
      <c r="L234"/>
    </row>
    <row r="235" spans="11:12" x14ac:dyDescent="0.2">
      <c r="K235"/>
      <c r="L235"/>
    </row>
    <row r="236" spans="11:12" x14ac:dyDescent="0.2">
      <c r="K236"/>
      <c r="L236"/>
    </row>
    <row r="237" spans="11:12" x14ac:dyDescent="0.2">
      <c r="K237"/>
      <c r="L237"/>
    </row>
    <row r="238" spans="11:12" x14ac:dyDescent="0.2">
      <c r="K238"/>
      <c r="L238"/>
    </row>
    <row r="239" spans="11:12" x14ac:dyDescent="0.2">
      <c r="K239"/>
      <c r="L239"/>
    </row>
    <row r="240" spans="11:12" x14ac:dyDescent="0.2">
      <c r="K240"/>
      <c r="L240"/>
    </row>
    <row r="241" spans="11:12" x14ac:dyDescent="0.2">
      <c r="K241"/>
      <c r="L241"/>
    </row>
    <row r="242" spans="11:12" x14ac:dyDescent="0.2">
      <c r="K242"/>
      <c r="L242"/>
    </row>
    <row r="243" spans="11:12" x14ac:dyDescent="0.2">
      <c r="K243"/>
      <c r="L243"/>
    </row>
    <row r="244" spans="11:12" x14ac:dyDescent="0.2">
      <c r="K244"/>
      <c r="L244"/>
    </row>
    <row r="245" spans="11:12" x14ac:dyDescent="0.2">
      <c r="K245"/>
      <c r="L245"/>
    </row>
    <row r="246" spans="11:12" x14ac:dyDescent="0.2">
      <c r="K246"/>
      <c r="L246"/>
    </row>
    <row r="247" spans="11:12" x14ac:dyDescent="0.2">
      <c r="K247"/>
      <c r="L247"/>
    </row>
    <row r="248" spans="11:12" x14ac:dyDescent="0.2">
      <c r="K248"/>
      <c r="L248"/>
    </row>
    <row r="249" spans="11:12" x14ac:dyDescent="0.2">
      <c r="K249"/>
      <c r="L249"/>
    </row>
    <row r="250" spans="11:12" x14ac:dyDescent="0.2">
      <c r="K250"/>
      <c r="L250"/>
    </row>
    <row r="251" spans="11:12" x14ac:dyDescent="0.2">
      <c r="K251"/>
      <c r="L251"/>
    </row>
    <row r="252" spans="11:12" x14ac:dyDescent="0.2">
      <c r="K252"/>
      <c r="L252"/>
    </row>
    <row r="253" spans="11:12" x14ac:dyDescent="0.2">
      <c r="K253"/>
      <c r="L253"/>
    </row>
    <row r="254" spans="11:12" x14ac:dyDescent="0.2">
      <c r="K254"/>
      <c r="L254"/>
    </row>
    <row r="255" spans="11:12" x14ac:dyDescent="0.2">
      <c r="K255"/>
      <c r="L255"/>
    </row>
    <row r="256" spans="11:12" x14ac:dyDescent="0.2">
      <c r="K256"/>
      <c r="L256"/>
    </row>
    <row r="257" spans="11:12" x14ac:dyDescent="0.2">
      <c r="K257"/>
      <c r="L257"/>
    </row>
    <row r="258" spans="11:12" x14ac:dyDescent="0.2">
      <c r="K258"/>
      <c r="L258"/>
    </row>
    <row r="259" spans="11:12" x14ac:dyDescent="0.2">
      <c r="K259"/>
      <c r="L259"/>
    </row>
    <row r="260" spans="11:12" x14ac:dyDescent="0.2">
      <c r="K260"/>
      <c r="L260"/>
    </row>
    <row r="261" spans="11:12" x14ac:dyDescent="0.2">
      <c r="K261"/>
      <c r="L261"/>
    </row>
    <row r="262" spans="11:12" x14ac:dyDescent="0.2">
      <c r="K262"/>
      <c r="L262"/>
    </row>
    <row r="263" spans="11:12" x14ac:dyDescent="0.2">
      <c r="K263"/>
      <c r="L263"/>
    </row>
    <row r="264" spans="11:12" x14ac:dyDescent="0.2">
      <c r="K264"/>
      <c r="L264"/>
    </row>
    <row r="265" spans="11:12" x14ac:dyDescent="0.2">
      <c r="K265"/>
      <c r="L265"/>
    </row>
    <row r="266" spans="11:12" x14ac:dyDescent="0.2">
      <c r="K266"/>
      <c r="L266"/>
    </row>
    <row r="267" spans="11:12" x14ac:dyDescent="0.2">
      <c r="K267"/>
      <c r="L267"/>
    </row>
    <row r="268" spans="11:12" x14ac:dyDescent="0.2">
      <c r="K268"/>
      <c r="L268"/>
    </row>
    <row r="269" spans="11:12" x14ac:dyDescent="0.2">
      <c r="K269"/>
      <c r="L269"/>
    </row>
    <row r="270" spans="11:12" x14ac:dyDescent="0.2">
      <c r="K270"/>
      <c r="L270"/>
    </row>
    <row r="271" spans="11:12" x14ac:dyDescent="0.2">
      <c r="K271"/>
      <c r="L271"/>
    </row>
    <row r="272" spans="11:12" x14ac:dyDescent="0.2">
      <c r="K272"/>
      <c r="L272"/>
    </row>
    <row r="273" spans="11:12" x14ac:dyDescent="0.2">
      <c r="K273"/>
      <c r="L273"/>
    </row>
    <row r="274" spans="11:12" x14ac:dyDescent="0.2">
      <c r="K274"/>
      <c r="L274"/>
    </row>
    <row r="275" spans="11:12" x14ac:dyDescent="0.2">
      <c r="K275"/>
      <c r="L275"/>
    </row>
    <row r="276" spans="11:12" x14ac:dyDescent="0.2">
      <c r="K276"/>
      <c r="L276"/>
    </row>
    <row r="277" spans="11:12" x14ac:dyDescent="0.2">
      <c r="K277"/>
      <c r="L277"/>
    </row>
    <row r="278" spans="11:12" x14ac:dyDescent="0.2">
      <c r="K278"/>
      <c r="L278"/>
    </row>
    <row r="279" spans="11:12" x14ac:dyDescent="0.2">
      <c r="K279"/>
      <c r="L279"/>
    </row>
    <row r="280" spans="11:12" x14ac:dyDescent="0.2">
      <c r="K280"/>
      <c r="L280"/>
    </row>
    <row r="281" spans="11:12" x14ac:dyDescent="0.2">
      <c r="K281"/>
      <c r="L281"/>
    </row>
    <row r="282" spans="11:12" x14ac:dyDescent="0.2">
      <c r="K282"/>
      <c r="L282"/>
    </row>
    <row r="283" spans="11:12" x14ac:dyDescent="0.2">
      <c r="K283"/>
      <c r="L283"/>
    </row>
    <row r="284" spans="11:12" x14ac:dyDescent="0.2">
      <c r="K284"/>
      <c r="L284"/>
    </row>
    <row r="285" spans="11:12" x14ac:dyDescent="0.2">
      <c r="K285"/>
      <c r="L285"/>
    </row>
    <row r="286" spans="11:12" x14ac:dyDescent="0.2">
      <c r="K286"/>
      <c r="L286"/>
    </row>
    <row r="287" spans="11:12" x14ac:dyDescent="0.2">
      <c r="K287"/>
      <c r="L287"/>
    </row>
    <row r="288" spans="11:12" x14ac:dyDescent="0.2">
      <c r="K288"/>
      <c r="L288"/>
    </row>
    <row r="289" spans="11:12" x14ac:dyDescent="0.2">
      <c r="K289"/>
      <c r="L289"/>
    </row>
    <row r="290" spans="11:12" x14ac:dyDescent="0.2">
      <c r="K290"/>
      <c r="L290"/>
    </row>
    <row r="291" spans="11:12" x14ac:dyDescent="0.2">
      <c r="K291"/>
      <c r="L291"/>
    </row>
    <row r="292" spans="11:12" x14ac:dyDescent="0.2">
      <c r="K292"/>
      <c r="L292"/>
    </row>
    <row r="293" spans="11:12" x14ac:dyDescent="0.2">
      <c r="K293"/>
      <c r="L293"/>
    </row>
    <row r="294" spans="11:12" x14ac:dyDescent="0.2">
      <c r="K294"/>
      <c r="L294"/>
    </row>
    <row r="295" spans="11:12" x14ac:dyDescent="0.2">
      <c r="K295"/>
      <c r="L295"/>
    </row>
    <row r="296" spans="11:12" x14ac:dyDescent="0.2">
      <c r="K296"/>
      <c r="L296"/>
    </row>
    <row r="297" spans="11:12" x14ac:dyDescent="0.2">
      <c r="K297"/>
      <c r="L297"/>
    </row>
    <row r="298" spans="11:12" x14ac:dyDescent="0.2">
      <c r="K298"/>
      <c r="L298"/>
    </row>
    <row r="299" spans="11:12" x14ac:dyDescent="0.2">
      <c r="K299"/>
      <c r="L299"/>
    </row>
    <row r="300" spans="11:12" x14ac:dyDescent="0.2">
      <c r="K300"/>
      <c r="L300"/>
    </row>
    <row r="301" spans="11:12" x14ac:dyDescent="0.2">
      <c r="K301"/>
      <c r="L301"/>
    </row>
    <row r="302" spans="11:12" x14ac:dyDescent="0.2">
      <c r="K302"/>
      <c r="L302"/>
    </row>
    <row r="303" spans="11:12" x14ac:dyDescent="0.2">
      <c r="K303"/>
      <c r="L303"/>
    </row>
    <row r="304" spans="11:12" x14ac:dyDescent="0.2">
      <c r="K304"/>
      <c r="L304"/>
    </row>
    <row r="305" spans="11:12" x14ac:dyDescent="0.2">
      <c r="K305"/>
      <c r="L305"/>
    </row>
    <row r="306" spans="11:12" x14ac:dyDescent="0.2">
      <c r="K306"/>
      <c r="L306"/>
    </row>
    <row r="307" spans="11:12" x14ac:dyDescent="0.2">
      <c r="K307"/>
      <c r="L307"/>
    </row>
    <row r="308" spans="11:12" x14ac:dyDescent="0.2">
      <c r="K308"/>
      <c r="L308"/>
    </row>
    <row r="309" spans="11:12" x14ac:dyDescent="0.2">
      <c r="K309"/>
      <c r="L309"/>
    </row>
    <row r="310" spans="11:12" x14ac:dyDescent="0.2">
      <c r="K310"/>
      <c r="L310"/>
    </row>
    <row r="311" spans="11:12" x14ac:dyDescent="0.2">
      <c r="K311"/>
      <c r="L311"/>
    </row>
    <row r="312" spans="11:12" x14ac:dyDescent="0.2">
      <c r="K312"/>
      <c r="L312"/>
    </row>
    <row r="313" spans="11:12" x14ac:dyDescent="0.2">
      <c r="K313"/>
      <c r="L313"/>
    </row>
    <row r="314" spans="11:12" x14ac:dyDescent="0.2">
      <c r="K314"/>
      <c r="L314"/>
    </row>
    <row r="315" spans="11:12" x14ac:dyDescent="0.2">
      <c r="K315"/>
      <c r="L315"/>
    </row>
    <row r="316" spans="11:12" x14ac:dyDescent="0.2">
      <c r="K316"/>
      <c r="L316"/>
    </row>
    <row r="317" spans="11:12" x14ac:dyDescent="0.2">
      <c r="K317"/>
      <c r="L317"/>
    </row>
    <row r="318" spans="11:12" x14ac:dyDescent="0.2">
      <c r="K318"/>
      <c r="L318"/>
    </row>
    <row r="319" spans="11:12" x14ac:dyDescent="0.2">
      <c r="K319"/>
      <c r="L319"/>
    </row>
    <row r="320" spans="11:12" x14ac:dyDescent="0.2">
      <c r="K320"/>
      <c r="L320"/>
    </row>
    <row r="321" spans="11:12" x14ac:dyDescent="0.2">
      <c r="K321"/>
      <c r="L321"/>
    </row>
    <row r="322" spans="11:12" x14ac:dyDescent="0.2">
      <c r="K322"/>
      <c r="L322"/>
    </row>
    <row r="323" spans="11:12" x14ac:dyDescent="0.2">
      <c r="K323"/>
      <c r="L323"/>
    </row>
    <row r="324" spans="11:12" x14ac:dyDescent="0.2">
      <c r="K324"/>
      <c r="L324"/>
    </row>
    <row r="325" spans="11:12" x14ac:dyDescent="0.2">
      <c r="K325"/>
      <c r="L325"/>
    </row>
    <row r="326" spans="11:12" x14ac:dyDescent="0.2">
      <c r="K326"/>
      <c r="L326"/>
    </row>
    <row r="327" spans="11:12" x14ac:dyDescent="0.2">
      <c r="K327"/>
      <c r="L327"/>
    </row>
    <row r="328" spans="11:12" x14ac:dyDescent="0.2">
      <c r="K328"/>
      <c r="L328"/>
    </row>
    <row r="329" spans="11:12" x14ac:dyDescent="0.2">
      <c r="K329"/>
      <c r="L329"/>
    </row>
    <row r="330" spans="11:12" x14ac:dyDescent="0.2">
      <c r="K330"/>
      <c r="L330"/>
    </row>
    <row r="331" spans="11:12" x14ac:dyDescent="0.2">
      <c r="K331"/>
      <c r="L331"/>
    </row>
    <row r="332" spans="11:12" x14ac:dyDescent="0.2">
      <c r="K332"/>
      <c r="L332"/>
    </row>
    <row r="333" spans="11:12" x14ac:dyDescent="0.2">
      <c r="K333"/>
      <c r="L333"/>
    </row>
    <row r="334" spans="11:12" x14ac:dyDescent="0.2">
      <c r="K334"/>
      <c r="L334"/>
    </row>
    <row r="335" spans="11:12" x14ac:dyDescent="0.2">
      <c r="K335"/>
      <c r="L335"/>
    </row>
    <row r="336" spans="11:12" x14ac:dyDescent="0.2">
      <c r="K336"/>
      <c r="L336"/>
    </row>
    <row r="337" spans="11:12" x14ac:dyDescent="0.2">
      <c r="K337"/>
      <c r="L337"/>
    </row>
    <row r="338" spans="11:12" x14ac:dyDescent="0.2">
      <c r="K338"/>
      <c r="L338"/>
    </row>
    <row r="339" spans="11:12" x14ac:dyDescent="0.2">
      <c r="K339"/>
      <c r="L339"/>
    </row>
    <row r="340" spans="11:12" x14ac:dyDescent="0.2">
      <c r="K340"/>
      <c r="L340"/>
    </row>
    <row r="341" spans="11:12" x14ac:dyDescent="0.2">
      <c r="K341"/>
      <c r="L341"/>
    </row>
    <row r="342" spans="11:12" x14ac:dyDescent="0.2">
      <c r="K342"/>
      <c r="L342"/>
    </row>
    <row r="343" spans="11:12" x14ac:dyDescent="0.2">
      <c r="K343"/>
      <c r="L343"/>
    </row>
    <row r="344" spans="11:12" x14ac:dyDescent="0.2">
      <c r="K344"/>
      <c r="L344"/>
    </row>
    <row r="345" spans="11:12" x14ac:dyDescent="0.2">
      <c r="K345"/>
      <c r="L345"/>
    </row>
    <row r="346" spans="11:12" x14ac:dyDescent="0.2">
      <c r="K346"/>
      <c r="L346"/>
    </row>
    <row r="347" spans="11:12" x14ac:dyDescent="0.2">
      <c r="K347"/>
      <c r="L347"/>
    </row>
    <row r="348" spans="11:12" x14ac:dyDescent="0.2">
      <c r="K348"/>
      <c r="L348"/>
    </row>
    <row r="349" spans="11:12" x14ac:dyDescent="0.2">
      <c r="K349"/>
      <c r="L349"/>
    </row>
    <row r="350" spans="11:12" x14ac:dyDescent="0.2">
      <c r="K350"/>
      <c r="L350"/>
    </row>
    <row r="351" spans="11:12" x14ac:dyDescent="0.2">
      <c r="K351"/>
      <c r="L351"/>
    </row>
    <row r="352" spans="11:12" x14ac:dyDescent="0.2">
      <c r="K352"/>
      <c r="L352"/>
    </row>
    <row r="353" spans="11:12" x14ac:dyDescent="0.2">
      <c r="K353"/>
      <c r="L353"/>
    </row>
    <row r="354" spans="11:12" x14ac:dyDescent="0.2">
      <c r="K354"/>
      <c r="L354"/>
    </row>
    <row r="355" spans="11:12" x14ac:dyDescent="0.2">
      <c r="K355"/>
      <c r="L355"/>
    </row>
    <row r="356" spans="11:12" x14ac:dyDescent="0.2">
      <c r="K356"/>
      <c r="L356"/>
    </row>
    <row r="357" spans="11:12" x14ac:dyDescent="0.2">
      <c r="K357"/>
      <c r="L357"/>
    </row>
    <row r="358" spans="11:12" x14ac:dyDescent="0.2">
      <c r="K358"/>
      <c r="L358"/>
    </row>
    <row r="359" spans="11:12" x14ac:dyDescent="0.2">
      <c r="K359"/>
      <c r="L359"/>
    </row>
    <row r="360" spans="11:12" x14ac:dyDescent="0.2">
      <c r="K360"/>
      <c r="L360"/>
    </row>
    <row r="361" spans="11:12" x14ac:dyDescent="0.2">
      <c r="K361"/>
      <c r="L361"/>
    </row>
    <row r="362" spans="11:12" x14ac:dyDescent="0.2">
      <c r="K362"/>
      <c r="L362"/>
    </row>
    <row r="363" spans="11:12" x14ac:dyDescent="0.2">
      <c r="K363"/>
      <c r="L363"/>
    </row>
    <row r="364" spans="11:12" x14ac:dyDescent="0.2">
      <c r="K364"/>
      <c r="L364"/>
    </row>
    <row r="365" spans="11:12" x14ac:dyDescent="0.2">
      <c r="K365"/>
      <c r="L365"/>
    </row>
    <row r="366" spans="11:12" x14ac:dyDescent="0.2">
      <c r="K366"/>
      <c r="L366"/>
    </row>
    <row r="367" spans="11:12" x14ac:dyDescent="0.2">
      <c r="K367"/>
      <c r="L367"/>
    </row>
    <row r="368" spans="11:12" x14ac:dyDescent="0.2">
      <c r="K368"/>
      <c r="L368"/>
    </row>
    <row r="369" spans="11:12" x14ac:dyDescent="0.2">
      <c r="K369"/>
      <c r="L369"/>
    </row>
    <row r="370" spans="11:12" x14ac:dyDescent="0.2">
      <c r="K370"/>
      <c r="L370"/>
    </row>
    <row r="371" spans="11:12" x14ac:dyDescent="0.2">
      <c r="K371"/>
      <c r="L371"/>
    </row>
    <row r="372" spans="11:12" x14ac:dyDescent="0.2">
      <c r="K372"/>
      <c r="L372"/>
    </row>
    <row r="373" spans="11:12" x14ac:dyDescent="0.2">
      <c r="K373"/>
      <c r="L373"/>
    </row>
    <row r="374" spans="11:12" x14ac:dyDescent="0.2">
      <c r="K374"/>
      <c r="L374"/>
    </row>
    <row r="375" spans="11:12" x14ac:dyDescent="0.2">
      <c r="K375"/>
      <c r="L375"/>
    </row>
    <row r="376" spans="11:12" x14ac:dyDescent="0.2">
      <c r="K376"/>
      <c r="L376"/>
    </row>
    <row r="377" spans="11:12" x14ac:dyDescent="0.2">
      <c r="K377"/>
      <c r="L377"/>
    </row>
    <row r="378" spans="11:12" x14ac:dyDescent="0.2">
      <c r="K378"/>
      <c r="L378"/>
    </row>
    <row r="379" spans="11:12" x14ac:dyDescent="0.2">
      <c r="K379"/>
      <c r="L379"/>
    </row>
    <row r="380" spans="11:12" x14ac:dyDescent="0.2">
      <c r="K380"/>
      <c r="L380"/>
    </row>
    <row r="381" spans="11:12" x14ac:dyDescent="0.2">
      <c r="K381"/>
      <c r="L381"/>
    </row>
    <row r="382" spans="11:12" x14ac:dyDescent="0.2">
      <c r="K382"/>
      <c r="L382"/>
    </row>
    <row r="383" spans="11:12" x14ac:dyDescent="0.2">
      <c r="K383"/>
      <c r="L383"/>
    </row>
    <row r="384" spans="11:12" x14ac:dyDescent="0.2">
      <c r="K384"/>
      <c r="L384"/>
    </row>
    <row r="385" spans="11:12" x14ac:dyDescent="0.2">
      <c r="K385"/>
      <c r="L385"/>
    </row>
    <row r="386" spans="11:12" x14ac:dyDescent="0.2">
      <c r="K386"/>
      <c r="L386"/>
    </row>
    <row r="387" spans="11:12" x14ac:dyDescent="0.2">
      <c r="K387"/>
      <c r="L387"/>
    </row>
    <row r="388" spans="11:12" x14ac:dyDescent="0.2">
      <c r="K388"/>
      <c r="L388"/>
    </row>
    <row r="389" spans="11:12" x14ac:dyDescent="0.2">
      <c r="K389"/>
      <c r="L389"/>
    </row>
    <row r="390" spans="11:12" x14ac:dyDescent="0.2">
      <c r="K390"/>
      <c r="L390"/>
    </row>
    <row r="391" spans="11:12" x14ac:dyDescent="0.2">
      <c r="K391"/>
      <c r="L391"/>
    </row>
    <row r="392" spans="11:12" x14ac:dyDescent="0.2">
      <c r="K392"/>
      <c r="L392"/>
    </row>
    <row r="393" spans="11:12" x14ac:dyDescent="0.2">
      <c r="K393"/>
      <c r="L393"/>
    </row>
    <row r="394" spans="11:12" x14ac:dyDescent="0.2">
      <c r="K394"/>
      <c r="L394"/>
    </row>
    <row r="395" spans="11:12" x14ac:dyDescent="0.2">
      <c r="K395"/>
      <c r="L395"/>
    </row>
    <row r="396" spans="11:12" x14ac:dyDescent="0.2">
      <c r="K396"/>
      <c r="L396"/>
    </row>
    <row r="397" spans="11:12" x14ac:dyDescent="0.2">
      <c r="K397"/>
      <c r="L397"/>
    </row>
    <row r="398" spans="11:12" x14ac:dyDescent="0.2">
      <c r="K398"/>
      <c r="L398"/>
    </row>
    <row r="399" spans="11:12" x14ac:dyDescent="0.2">
      <c r="K399"/>
      <c r="L399"/>
    </row>
    <row r="400" spans="11:12" x14ac:dyDescent="0.2">
      <c r="K400"/>
      <c r="L400"/>
    </row>
    <row r="401" spans="11:12" x14ac:dyDescent="0.2">
      <c r="K401"/>
      <c r="L401"/>
    </row>
    <row r="402" spans="11:12" x14ac:dyDescent="0.2">
      <c r="K402"/>
      <c r="L402"/>
    </row>
    <row r="403" spans="11:12" x14ac:dyDescent="0.2">
      <c r="K403"/>
      <c r="L403"/>
    </row>
    <row r="404" spans="11:12" x14ac:dyDescent="0.2">
      <c r="K404"/>
      <c r="L404"/>
    </row>
    <row r="405" spans="11:12" x14ac:dyDescent="0.2">
      <c r="K405"/>
      <c r="L405"/>
    </row>
    <row r="406" spans="11:12" x14ac:dyDescent="0.2">
      <c r="K406"/>
      <c r="L406"/>
    </row>
    <row r="407" spans="11:12" x14ac:dyDescent="0.2">
      <c r="K407"/>
      <c r="L407"/>
    </row>
    <row r="408" spans="11:12" x14ac:dyDescent="0.2">
      <c r="K408"/>
      <c r="L408"/>
    </row>
    <row r="409" spans="11:12" x14ac:dyDescent="0.2">
      <c r="K409"/>
      <c r="L409"/>
    </row>
    <row r="410" spans="11:12" x14ac:dyDescent="0.2">
      <c r="K410"/>
      <c r="L410"/>
    </row>
    <row r="411" spans="11:12" x14ac:dyDescent="0.2">
      <c r="K411"/>
      <c r="L411"/>
    </row>
    <row r="412" spans="11:12" x14ac:dyDescent="0.2">
      <c r="K412"/>
      <c r="L412"/>
    </row>
    <row r="413" spans="11:12" x14ac:dyDescent="0.2">
      <c r="K413"/>
      <c r="L413"/>
    </row>
    <row r="414" spans="11:12" x14ac:dyDescent="0.2">
      <c r="K414"/>
      <c r="L414"/>
    </row>
    <row r="415" spans="11:12" x14ac:dyDescent="0.2">
      <c r="K415"/>
      <c r="L415"/>
    </row>
    <row r="416" spans="11:12" x14ac:dyDescent="0.2">
      <c r="K416"/>
      <c r="L416"/>
    </row>
    <row r="417" spans="11:12" x14ac:dyDescent="0.2">
      <c r="K417"/>
      <c r="L417"/>
    </row>
    <row r="418" spans="11:12" x14ac:dyDescent="0.2">
      <c r="K418"/>
      <c r="L418"/>
    </row>
    <row r="419" spans="11:12" x14ac:dyDescent="0.2">
      <c r="K419"/>
      <c r="L419"/>
    </row>
    <row r="420" spans="11:12" x14ac:dyDescent="0.2">
      <c r="K420"/>
      <c r="L420"/>
    </row>
    <row r="421" spans="11:12" x14ac:dyDescent="0.2">
      <c r="K421"/>
      <c r="L421"/>
    </row>
    <row r="422" spans="11:12" x14ac:dyDescent="0.2">
      <c r="K422"/>
      <c r="L422"/>
    </row>
    <row r="423" spans="11:12" x14ac:dyDescent="0.2">
      <c r="K423"/>
      <c r="L423"/>
    </row>
    <row r="424" spans="11:12" x14ac:dyDescent="0.2">
      <c r="K424"/>
      <c r="L424"/>
    </row>
    <row r="425" spans="11:12" x14ac:dyDescent="0.2">
      <c r="K425"/>
      <c r="L425"/>
    </row>
    <row r="426" spans="11:12" x14ac:dyDescent="0.2">
      <c r="K426"/>
      <c r="L426"/>
    </row>
    <row r="427" spans="11:12" x14ac:dyDescent="0.2">
      <c r="K427"/>
      <c r="L427"/>
    </row>
    <row r="428" spans="11:12" x14ac:dyDescent="0.2">
      <c r="K428"/>
      <c r="L428"/>
    </row>
    <row r="429" spans="11:12" x14ac:dyDescent="0.2">
      <c r="K429"/>
      <c r="L429"/>
    </row>
    <row r="430" spans="11:12" x14ac:dyDescent="0.2">
      <c r="K430"/>
      <c r="L430"/>
    </row>
    <row r="431" spans="11:12" x14ac:dyDescent="0.2">
      <c r="K431"/>
      <c r="L431"/>
    </row>
    <row r="432" spans="11:12" x14ac:dyDescent="0.2">
      <c r="K432"/>
      <c r="L432"/>
    </row>
    <row r="433" spans="11:12" x14ac:dyDescent="0.2">
      <c r="K433"/>
      <c r="L433"/>
    </row>
    <row r="434" spans="11:12" x14ac:dyDescent="0.2">
      <c r="K434"/>
      <c r="L434"/>
    </row>
    <row r="435" spans="11:12" x14ac:dyDescent="0.2">
      <c r="K435"/>
      <c r="L435"/>
    </row>
    <row r="436" spans="11:12" x14ac:dyDescent="0.2">
      <c r="K436"/>
      <c r="L436"/>
    </row>
    <row r="437" spans="11:12" x14ac:dyDescent="0.2">
      <c r="K437"/>
      <c r="L437"/>
    </row>
    <row r="438" spans="11:12" x14ac:dyDescent="0.2">
      <c r="K438"/>
      <c r="L438"/>
    </row>
    <row r="439" spans="11:12" x14ac:dyDescent="0.2">
      <c r="K439"/>
      <c r="L439"/>
    </row>
    <row r="440" spans="11:12" x14ac:dyDescent="0.2">
      <c r="K440"/>
      <c r="L440"/>
    </row>
    <row r="441" spans="11:12" x14ac:dyDescent="0.2">
      <c r="K441"/>
      <c r="L441"/>
    </row>
    <row r="442" spans="11:12" x14ac:dyDescent="0.2">
      <c r="K442"/>
      <c r="L442"/>
    </row>
    <row r="443" spans="11:12" x14ac:dyDescent="0.2">
      <c r="K443"/>
      <c r="L443"/>
    </row>
    <row r="444" spans="11:12" x14ac:dyDescent="0.2">
      <c r="K444"/>
      <c r="L444"/>
    </row>
    <row r="445" spans="11:12" x14ac:dyDescent="0.2">
      <c r="K445"/>
      <c r="L445"/>
    </row>
    <row r="446" spans="11:12" x14ac:dyDescent="0.2">
      <c r="K446"/>
      <c r="L446"/>
    </row>
    <row r="447" spans="11:12" x14ac:dyDescent="0.2">
      <c r="K447"/>
      <c r="L447"/>
    </row>
    <row r="448" spans="11:12" x14ac:dyDescent="0.2">
      <c r="K448"/>
      <c r="L448"/>
    </row>
    <row r="449" spans="11:12" x14ac:dyDescent="0.2">
      <c r="K449"/>
      <c r="L449"/>
    </row>
    <row r="450" spans="11:12" x14ac:dyDescent="0.2">
      <c r="K450"/>
      <c r="L450"/>
    </row>
    <row r="451" spans="11:12" x14ac:dyDescent="0.2">
      <c r="K451"/>
      <c r="L451"/>
    </row>
    <row r="452" spans="11:12" x14ac:dyDescent="0.2">
      <c r="K452"/>
      <c r="L452"/>
    </row>
    <row r="453" spans="11:12" x14ac:dyDescent="0.2">
      <c r="K453"/>
      <c r="L453"/>
    </row>
    <row r="454" spans="11:12" x14ac:dyDescent="0.2">
      <c r="K454"/>
      <c r="L454"/>
    </row>
    <row r="455" spans="11:12" x14ac:dyDescent="0.2">
      <c r="K455"/>
      <c r="L455"/>
    </row>
    <row r="456" spans="11:12" x14ac:dyDescent="0.2">
      <c r="K456"/>
      <c r="L456"/>
    </row>
    <row r="457" spans="11:12" x14ac:dyDescent="0.2">
      <c r="K457"/>
      <c r="L457"/>
    </row>
    <row r="458" spans="11:12" x14ac:dyDescent="0.2">
      <c r="K458"/>
      <c r="L458"/>
    </row>
    <row r="459" spans="11:12" x14ac:dyDescent="0.2">
      <c r="K459"/>
      <c r="L459"/>
    </row>
    <row r="460" spans="11:12" x14ac:dyDescent="0.2">
      <c r="K460"/>
      <c r="L460"/>
    </row>
    <row r="461" spans="11:12" x14ac:dyDescent="0.2">
      <c r="K461"/>
      <c r="L461"/>
    </row>
    <row r="462" spans="11:12" x14ac:dyDescent="0.2">
      <c r="K462"/>
      <c r="L462"/>
    </row>
    <row r="463" spans="11:12" x14ac:dyDescent="0.2">
      <c r="K463"/>
      <c r="L463"/>
    </row>
    <row r="464" spans="11:12" x14ac:dyDescent="0.2">
      <c r="K464"/>
      <c r="L464"/>
    </row>
    <row r="465" spans="11:12" x14ac:dyDescent="0.2">
      <c r="K465"/>
      <c r="L465"/>
    </row>
    <row r="466" spans="11:12" x14ac:dyDescent="0.2">
      <c r="K466"/>
      <c r="L466"/>
    </row>
    <row r="467" spans="11:12" x14ac:dyDescent="0.2">
      <c r="K467"/>
      <c r="L467"/>
    </row>
    <row r="468" spans="11:12" x14ac:dyDescent="0.2">
      <c r="K468"/>
      <c r="L468"/>
    </row>
    <row r="469" spans="11:12" x14ac:dyDescent="0.2">
      <c r="K469"/>
      <c r="L469"/>
    </row>
    <row r="470" spans="11:12" x14ac:dyDescent="0.2">
      <c r="K470"/>
      <c r="L470"/>
    </row>
    <row r="471" spans="11:12" x14ac:dyDescent="0.2">
      <c r="K471"/>
      <c r="L471"/>
    </row>
    <row r="472" spans="11:12" x14ac:dyDescent="0.2">
      <c r="K472"/>
      <c r="L472"/>
    </row>
    <row r="473" spans="11:12" x14ac:dyDescent="0.2">
      <c r="K473"/>
      <c r="L473"/>
    </row>
    <row r="474" spans="11:12" x14ac:dyDescent="0.2">
      <c r="K474"/>
      <c r="L474"/>
    </row>
    <row r="475" spans="11:12" x14ac:dyDescent="0.2">
      <c r="K475"/>
      <c r="L475"/>
    </row>
    <row r="476" spans="11:12" x14ac:dyDescent="0.2">
      <c r="K476"/>
      <c r="L476"/>
    </row>
    <row r="477" spans="11:12" x14ac:dyDescent="0.2">
      <c r="K477"/>
      <c r="L477"/>
    </row>
    <row r="478" spans="11:12" x14ac:dyDescent="0.2">
      <c r="K478"/>
      <c r="L478"/>
    </row>
    <row r="479" spans="11:12" x14ac:dyDescent="0.2">
      <c r="K479"/>
      <c r="L479"/>
    </row>
    <row r="480" spans="11:12" x14ac:dyDescent="0.2">
      <c r="K480"/>
      <c r="L480"/>
    </row>
    <row r="481" spans="11:12" x14ac:dyDescent="0.2">
      <c r="K481"/>
      <c r="L481"/>
    </row>
    <row r="482" spans="11:12" x14ac:dyDescent="0.2">
      <c r="K482"/>
      <c r="L482"/>
    </row>
    <row r="483" spans="11:12" x14ac:dyDescent="0.2">
      <c r="K483"/>
      <c r="L483"/>
    </row>
    <row r="484" spans="11:12" x14ac:dyDescent="0.2">
      <c r="K484"/>
      <c r="L484"/>
    </row>
    <row r="485" spans="11:12" x14ac:dyDescent="0.2">
      <c r="K485"/>
      <c r="L485"/>
    </row>
    <row r="486" spans="11:12" x14ac:dyDescent="0.2">
      <c r="K486"/>
      <c r="L486"/>
    </row>
    <row r="487" spans="11:12" x14ac:dyDescent="0.2">
      <c r="K487"/>
      <c r="L487"/>
    </row>
    <row r="488" spans="11:12" x14ac:dyDescent="0.2">
      <c r="K488"/>
      <c r="L488"/>
    </row>
    <row r="489" spans="11:12" x14ac:dyDescent="0.2">
      <c r="K489"/>
      <c r="L489"/>
    </row>
    <row r="490" spans="11:12" x14ac:dyDescent="0.2">
      <c r="K490"/>
      <c r="L490"/>
    </row>
    <row r="491" spans="11:12" x14ac:dyDescent="0.2">
      <c r="K491"/>
      <c r="L491"/>
    </row>
    <row r="492" spans="11:12" x14ac:dyDescent="0.2">
      <c r="K492"/>
      <c r="L492"/>
    </row>
    <row r="493" spans="11:12" x14ac:dyDescent="0.2">
      <c r="K493"/>
      <c r="L493"/>
    </row>
    <row r="494" spans="11:12" x14ac:dyDescent="0.2">
      <c r="K494"/>
      <c r="L494"/>
    </row>
    <row r="495" spans="11:12" x14ac:dyDescent="0.2">
      <c r="K495"/>
      <c r="L495"/>
    </row>
    <row r="496" spans="11:12" x14ac:dyDescent="0.2">
      <c r="K496"/>
      <c r="L496"/>
    </row>
    <row r="497" spans="11:12" x14ac:dyDescent="0.2">
      <c r="K497"/>
      <c r="L497"/>
    </row>
    <row r="498" spans="11:12" x14ac:dyDescent="0.2">
      <c r="K498"/>
      <c r="L498"/>
    </row>
    <row r="499" spans="11:12" x14ac:dyDescent="0.2">
      <c r="K499"/>
      <c r="L499"/>
    </row>
    <row r="500" spans="11:12" x14ac:dyDescent="0.2">
      <c r="K500"/>
      <c r="L500"/>
    </row>
    <row r="501" spans="11:12" x14ac:dyDescent="0.2">
      <c r="K501"/>
      <c r="L501"/>
    </row>
    <row r="502" spans="11:12" x14ac:dyDescent="0.2">
      <c r="K502"/>
      <c r="L502"/>
    </row>
    <row r="503" spans="11:12" x14ac:dyDescent="0.2">
      <c r="K503"/>
      <c r="L503"/>
    </row>
    <row r="504" spans="11:12" x14ac:dyDescent="0.2">
      <c r="K504"/>
      <c r="L504"/>
    </row>
    <row r="505" spans="11:12" x14ac:dyDescent="0.2">
      <c r="K505"/>
      <c r="L505"/>
    </row>
    <row r="506" spans="11:12" x14ac:dyDescent="0.2">
      <c r="K506"/>
      <c r="L506"/>
    </row>
    <row r="507" spans="11:12" x14ac:dyDescent="0.2">
      <c r="K507"/>
      <c r="L507"/>
    </row>
    <row r="508" spans="11:12" x14ac:dyDescent="0.2">
      <c r="K508"/>
      <c r="L508"/>
    </row>
    <row r="509" spans="11:12" x14ac:dyDescent="0.2">
      <c r="K509"/>
      <c r="L509"/>
    </row>
    <row r="510" spans="11:12" x14ac:dyDescent="0.2">
      <c r="K510"/>
      <c r="L510"/>
    </row>
    <row r="511" spans="11:12" x14ac:dyDescent="0.2">
      <c r="K511"/>
      <c r="L511"/>
    </row>
    <row r="512" spans="11:12" x14ac:dyDescent="0.2">
      <c r="K512"/>
      <c r="L512"/>
    </row>
    <row r="513" spans="11:12" x14ac:dyDescent="0.2">
      <c r="K513"/>
      <c r="L513"/>
    </row>
    <row r="514" spans="11:12" x14ac:dyDescent="0.2">
      <c r="K514"/>
      <c r="L514"/>
    </row>
    <row r="515" spans="11:12" x14ac:dyDescent="0.2">
      <c r="K515"/>
      <c r="L515"/>
    </row>
    <row r="516" spans="11:12" x14ac:dyDescent="0.2">
      <c r="K516"/>
      <c r="L516"/>
    </row>
    <row r="517" spans="11:12" x14ac:dyDescent="0.2">
      <c r="K517"/>
      <c r="L517"/>
    </row>
    <row r="518" spans="11:12" x14ac:dyDescent="0.2">
      <c r="K518"/>
      <c r="L518"/>
    </row>
    <row r="519" spans="11:12" x14ac:dyDescent="0.2">
      <c r="K519"/>
      <c r="L519"/>
    </row>
    <row r="520" spans="11:12" x14ac:dyDescent="0.2">
      <c r="K520"/>
      <c r="L520"/>
    </row>
    <row r="521" spans="11:12" x14ac:dyDescent="0.2">
      <c r="K521"/>
      <c r="L521"/>
    </row>
    <row r="522" spans="11:12" x14ac:dyDescent="0.2">
      <c r="K522"/>
      <c r="L522"/>
    </row>
    <row r="523" spans="11:12" x14ac:dyDescent="0.2">
      <c r="K523"/>
      <c r="L523"/>
    </row>
    <row r="524" spans="11:12" x14ac:dyDescent="0.2">
      <c r="K524"/>
      <c r="L524"/>
    </row>
    <row r="525" spans="11:12" x14ac:dyDescent="0.2">
      <c r="K525"/>
      <c r="L525"/>
    </row>
    <row r="526" spans="11:12" x14ac:dyDescent="0.2">
      <c r="K526"/>
      <c r="L526"/>
    </row>
    <row r="527" spans="11:12" x14ac:dyDescent="0.2">
      <c r="K527"/>
      <c r="L527"/>
    </row>
    <row r="528" spans="11:12" x14ac:dyDescent="0.2">
      <c r="K528"/>
      <c r="L528"/>
    </row>
    <row r="529" spans="11:12" x14ac:dyDescent="0.2">
      <c r="K529"/>
      <c r="L529"/>
    </row>
    <row r="530" spans="11:12" x14ac:dyDescent="0.2">
      <c r="K530"/>
      <c r="L530"/>
    </row>
    <row r="531" spans="11:12" x14ac:dyDescent="0.2">
      <c r="K531"/>
      <c r="L531"/>
    </row>
    <row r="532" spans="11:12" x14ac:dyDescent="0.2">
      <c r="K532"/>
      <c r="L532"/>
    </row>
    <row r="533" spans="11:12" x14ac:dyDescent="0.2">
      <c r="K533"/>
      <c r="L533"/>
    </row>
    <row r="534" spans="11:12" x14ac:dyDescent="0.2">
      <c r="K534"/>
      <c r="L534"/>
    </row>
    <row r="535" spans="11:12" x14ac:dyDescent="0.2">
      <c r="K535"/>
      <c r="L535"/>
    </row>
    <row r="536" spans="11:12" x14ac:dyDescent="0.2">
      <c r="K536"/>
      <c r="L536"/>
    </row>
    <row r="537" spans="11:12" x14ac:dyDescent="0.2">
      <c r="K537"/>
      <c r="L537"/>
    </row>
    <row r="538" spans="11:12" x14ac:dyDescent="0.2">
      <c r="K538"/>
      <c r="L538"/>
    </row>
    <row r="539" spans="11:12" x14ac:dyDescent="0.2">
      <c r="K539"/>
      <c r="L539"/>
    </row>
    <row r="540" spans="11:12" x14ac:dyDescent="0.2">
      <c r="K540"/>
      <c r="L540"/>
    </row>
    <row r="541" spans="11:12" x14ac:dyDescent="0.2">
      <c r="K541"/>
      <c r="L541"/>
    </row>
    <row r="542" spans="11:12" x14ac:dyDescent="0.2">
      <c r="K542"/>
      <c r="L542"/>
    </row>
    <row r="543" spans="11:12" x14ac:dyDescent="0.2">
      <c r="K543"/>
      <c r="L543"/>
    </row>
    <row r="544" spans="11:12" x14ac:dyDescent="0.2">
      <c r="K544"/>
      <c r="L544"/>
    </row>
    <row r="545" spans="11:12" x14ac:dyDescent="0.2">
      <c r="K545"/>
      <c r="L545"/>
    </row>
    <row r="546" spans="11:12" x14ac:dyDescent="0.2">
      <c r="K546"/>
      <c r="L546"/>
    </row>
    <row r="547" spans="11:12" x14ac:dyDescent="0.2">
      <c r="K547"/>
      <c r="L547"/>
    </row>
    <row r="548" spans="11:12" x14ac:dyDescent="0.2">
      <c r="K548"/>
      <c r="L548"/>
    </row>
    <row r="549" spans="11:12" x14ac:dyDescent="0.2">
      <c r="K549"/>
      <c r="L549"/>
    </row>
    <row r="550" spans="11:12" x14ac:dyDescent="0.2">
      <c r="K550"/>
      <c r="L550"/>
    </row>
    <row r="551" spans="11:12" x14ac:dyDescent="0.2">
      <c r="K551"/>
      <c r="L551"/>
    </row>
    <row r="552" spans="11:12" x14ac:dyDescent="0.2">
      <c r="K552"/>
      <c r="L552"/>
    </row>
    <row r="553" spans="11:12" x14ac:dyDescent="0.2">
      <c r="K553"/>
      <c r="L553"/>
    </row>
    <row r="554" spans="11:12" x14ac:dyDescent="0.2">
      <c r="K554"/>
      <c r="L554"/>
    </row>
    <row r="555" spans="11:12" x14ac:dyDescent="0.2">
      <c r="K555"/>
      <c r="L555"/>
    </row>
    <row r="556" spans="11:12" x14ac:dyDescent="0.2">
      <c r="K556"/>
      <c r="L556"/>
    </row>
    <row r="557" spans="11:12" x14ac:dyDescent="0.2">
      <c r="K557"/>
      <c r="L557"/>
    </row>
    <row r="558" spans="11:12" x14ac:dyDescent="0.2">
      <c r="K558"/>
      <c r="L558"/>
    </row>
    <row r="559" spans="11:12" x14ac:dyDescent="0.2">
      <c r="K559"/>
      <c r="L559"/>
    </row>
    <row r="560" spans="11:12" x14ac:dyDescent="0.2">
      <c r="K560"/>
      <c r="L560"/>
    </row>
    <row r="561" spans="11:12" x14ac:dyDescent="0.2">
      <c r="K561"/>
      <c r="L561"/>
    </row>
    <row r="562" spans="11:12" x14ac:dyDescent="0.2">
      <c r="K562"/>
      <c r="L562"/>
    </row>
    <row r="563" spans="11:12" x14ac:dyDescent="0.2">
      <c r="K563"/>
      <c r="L563"/>
    </row>
    <row r="564" spans="11:12" x14ac:dyDescent="0.2">
      <c r="K564"/>
      <c r="L564"/>
    </row>
    <row r="565" spans="11:12" x14ac:dyDescent="0.2">
      <c r="K565"/>
      <c r="L565"/>
    </row>
    <row r="566" spans="11:12" x14ac:dyDescent="0.2">
      <c r="K566"/>
      <c r="L566"/>
    </row>
    <row r="567" spans="11:12" x14ac:dyDescent="0.2">
      <c r="K567"/>
      <c r="L567"/>
    </row>
    <row r="568" spans="11:12" x14ac:dyDescent="0.2">
      <c r="K568"/>
      <c r="L568"/>
    </row>
    <row r="569" spans="11:12" x14ac:dyDescent="0.2">
      <c r="K569"/>
      <c r="L569"/>
    </row>
    <row r="570" spans="11:12" x14ac:dyDescent="0.2">
      <c r="K570"/>
      <c r="L570"/>
    </row>
    <row r="571" spans="11:12" x14ac:dyDescent="0.2">
      <c r="K571"/>
      <c r="L571"/>
    </row>
    <row r="572" spans="11:12" x14ac:dyDescent="0.2">
      <c r="K572"/>
      <c r="L572"/>
    </row>
    <row r="573" spans="11:12" x14ac:dyDescent="0.2">
      <c r="K573"/>
      <c r="L573"/>
    </row>
    <row r="574" spans="11:12" x14ac:dyDescent="0.2">
      <c r="K574"/>
      <c r="L574"/>
    </row>
    <row r="575" spans="11:12" x14ac:dyDescent="0.2">
      <c r="K575"/>
      <c r="L575"/>
    </row>
    <row r="576" spans="11:12" x14ac:dyDescent="0.2">
      <c r="K576"/>
      <c r="L576"/>
    </row>
    <row r="577" spans="11:12" x14ac:dyDescent="0.2">
      <c r="K577"/>
      <c r="L577"/>
    </row>
    <row r="578" spans="11:12" x14ac:dyDescent="0.2">
      <c r="K578"/>
      <c r="L578"/>
    </row>
    <row r="579" spans="11:12" x14ac:dyDescent="0.2">
      <c r="K579"/>
      <c r="L579"/>
    </row>
    <row r="580" spans="11:12" x14ac:dyDescent="0.2">
      <c r="K580"/>
      <c r="L580"/>
    </row>
    <row r="581" spans="11:12" x14ac:dyDescent="0.2">
      <c r="K581"/>
      <c r="L581"/>
    </row>
    <row r="582" spans="11:12" x14ac:dyDescent="0.2">
      <c r="K582"/>
      <c r="L582"/>
    </row>
    <row r="583" spans="11:12" x14ac:dyDescent="0.2">
      <c r="K583"/>
      <c r="L583"/>
    </row>
    <row r="584" spans="11:12" x14ac:dyDescent="0.2">
      <c r="K584"/>
      <c r="L584"/>
    </row>
    <row r="585" spans="11:12" x14ac:dyDescent="0.2">
      <c r="K585"/>
      <c r="L585"/>
    </row>
    <row r="586" spans="11:12" x14ac:dyDescent="0.2">
      <c r="K586"/>
      <c r="L586"/>
    </row>
    <row r="587" spans="11:12" x14ac:dyDescent="0.2">
      <c r="K587"/>
      <c r="L587"/>
    </row>
    <row r="588" spans="11:12" x14ac:dyDescent="0.2">
      <c r="K588"/>
      <c r="L588"/>
    </row>
    <row r="589" spans="11:12" x14ac:dyDescent="0.2">
      <c r="K589"/>
      <c r="L589"/>
    </row>
    <row r="590" spans="11:12" x14ac:dyDescent="0.2">
      <c r="K590"/>
      <c r="L590"/>
    </row>
    <row r="591" spans="11:12" x14ac:dyDescent="0.2">
      <c r="K591"/>
      <c r="L591"/>
    </row>
    <row r="592" spans="11:12" x14ac:dyDescent="0.2">
      <c r="K592"/>
      <c r="L592"/>
    </row>
    <row r="593" spans="11:12" x14ac:dyDescent="0.2">
      <c r="K593"/>
      <c r="L593"/>
    </row>
    <row r="594" spans="11:12" x14ac:dyDescent="0.2">
      <c r="K594"/>
      <c r="L594"/>
    </row>
    <row r="595" spans="11:12" x14ac:dyDescent="0.2">
      <c r="K595"/>
      <c r="L595"/>
    </row>
    <row r="596" spans="11:12" x14ac:dyDescent="0.2">
      <c r="K596"/>
      <c r="L596"/>
    </row>
    <row r="597" spans="11:12" x14ac:dyDescent="0.2">
      <c r="K597"/>
      <c r="L597"/>
    </row>
    <row r="598" spans="11:12" x14ac:dyDescent="0.2">
      <c r="K598"/>
      <c r="L598"/>
    </row>
    <row r="599" spans="11:12" x14ac:dyDescent="0.2">
      <c r="K599"/>
      <c r="L599"/>
    </row>
    <row r="600" spans="11:12" x14ac:dyDescent="0.2">
      <c r="K600"/>
      <c r="L600"/>
    </row>
    <row r="601" spans="11:12" x14ac:dyDescent="0.2">
      <c r="K601"/>
      <c r="L601"/>
    </row>
    <row r="602" spans="11:12" x14ac:dyDescent="0.2">
      <c r="K602"/>
      <c r="L602"/>
    </row>
    <row r="603" spans="11:12" x14ac:dyDescent="0.2">
      <c r="K603"/>
      <c r="L603"/>
    </row>
    <row r="604" spans="11:12" x14ac:dyDescent="0.2">
      <c r="K604"/>
      <c r="L604"/>
    </row>
    <row r="605" spans="11:12" x14ac:dyDescent="0.2">
      <c r="K605"/>
      <c r="L605"/>
    </row>
    <row r="606" spans="11:12" x14ac:dyDescent="0.2">
      <c r="K606"/>
      <c r="L606"/>
    </row>
    <row r="607" spans="11:12" x14ac:dyDescent="0.2">
      <c r="K607"/>
      <c r="L607"/>
    </row>
    <row r="608" spans="11:12" x14ac:dyDescent="0.2">
      <c r="K608"/>
      <c r="L608"/>
    </row>
    <row r="609" spans="11:12" x14ac:dyDescent="0.2">
      <c r="K609"/>
      <c r="L609"/>
    </row>
    <row r="610" spans="11:12" x14ac:dyDescent="0.2">
      <c r="K610"/>
      <c r="L610"/>
    </row>
    <row r="611" spans="11:12" x14ac:dyDescent="0.2">
      <c r="K611"/>
      <c r="L611"/>
    </row>
    <row r="612" spans="11:12" x14ac:dyDescent="0.2">
      <c r="K612"/>
      <c r="L612"/>
    </row>
    <row r="613" spans="11:12" x14ac:dyDescent="0.2">
      <c r="K613"/>
      <c r="L613"/>
    </row>
    <row r="614" spans="11:12" x14ac:dyDescent="0.2">
      <c r="K614"/>
      <c r="L614"/>
    </row>
    <row r="615" spans="11:12" x14ac:dyDescent="0.2">
      <c r="K615"/>
      <c r="L615"/>
    </row>
    <row r="616" spans="11:12" x14ac:dyDescent="0.2">
      <c r="K616"/>
      <c r="L616"/>
    </row>
    <row r="617" spans="11:12" x14ac:dyDescent="0.2">
      <c r="K617"/>
      <c r="L617"/>
    </row>
    <row r="618" spans="11:12" x14ac:dyDescent="0.2">
      <c r="K618"/>
      <c r="L618"/>
    </row>
    <row r="619" spans="11:12" x14ac:dyDescent="0.2">
      <c r="K619"/>
      <c r="L619"/>
    </row>
    <row r="620" spans="11:12" x14ac:dyDescent="0.2">
      <c r="K620"/>
      <c r="L620"/>
    </row>
    <row r="621" spans="11:12" x14ac:dyDescent="0.2">
      <c r="K621"/>
      <c r="L621"/>
    </row>
    <row r="622" spans="11:12" x14ac:dyDescent="0.2">
      <c r="K622"/>
      <c r="L622"/>
    </row>
    <row r="623" spans="11:12" x14ac:dyDescent="0.2">
      <c r="K623"/>
      <c r="L623"/>
    </row>
    <row r="624" spans="11:12" x14ac:dyDescent="0.2">
      <c r="K624"/>
      <c r="L624"/>
    </row>
    <row r="625" spans="11:12" x14ac:dyDescent="0.2">
      <c r="K625"/>
      <c r="L625"/>
    </row>
    <row r="626" spans="11:12" x14ac:dyDescent="0.2">
      <c r="K626"/>
      <c r="L626"/>
    </row>
    <row r="627" spans="11:12" x14ac:dyDescent="0.2">
      <c r="K627"/>
      <c r="L627"/>
    </row>
    <row r="628" spans="11:12" x14ac:dyDescent="0.2">
      <c r="K628"/>
      <c r="L628"/>
    </row>
    <row r="629" spans="11:12" x14ac:dyDescent="0.2">
      <c r="K629"/>
      <c r="L629"/>
    </row>
    <row r="630" spans="11:12" x14ac:dyDescent="0.2">
      <c r="K630"/>
      <c r="L630"/>
    </row>
    <row r="631" spans="11:12" x14ac:dyDescent="0.2">
      <c r="K631"/>
      <c r="L631"/>
    </row>
    <row r="632" spans="11:12" x14ac:dyDescent="0.2">
      <c r="K632"/>
      <c r="L632"/>
    </row>
    <row r="633" spans="11:12" x14ac:dyDescent="0.2">
      <c r="K633"/>
      <c r="L633"/>
    </row>
    <row r="634" spans="11:12" x14ac:dyDescent="0.2">
      <c r="K634"/>
      <c r="L634"/>
    </row>
    <row r="635" spans="11:12" x14ac:dyDescent="0.2">
      <c r="K635"/>
      <c r="L635"/>
    </row>
    <row r="636" spans="11:12" x14ac:dyDescent="0.2">
      <c r="K636"/>
      <c r="L636"/>
    </row>
    <row r="637" spans="11:12" x14ac:dyDescent="0.2">
      <c r="K637"/>
      <c r="L637"/>
    </row>
    <row r="638" spans="11:12" x14ac:dyDescent="0.2">
      <c r="K638"/>
      <c r="L638"/>
    </row>
    <row r="639" spans="11:12" x14ac:dyDescent="0.2">
      <c r="K639"/>
      <c r="L639"/>
    </row>
    <row r="640" spans="11:12" x14ac:dyDescent="0.2">
      <c r="K640"/>
      <c r="L640"/>
    </row>
    <row r="641" spans="11:12" x14ac:dyDescent="0.2">
      <c r="K641"/>
      <c r="L641"/>
    </row>
    <row r="642" spans="11:12" x14ac:dyDescent="0.2">
      <c r="K642"/>
      <c r="L642"/>
    </row>
    <row r="643" spans="11:12" x14ac:dyDescent="0.2">
      <c r="K643"/>
      <c r="L643"/>
    </row>
    <row r="644" spans="11:12" x14ac:dyDescent="0.2">
      <c r="K644"/>
      <c r="L644"/>
    </row>
    <row r="645" spans="11:12" x14ac:dyDescent="0.2">
      <c r="K645"/>
      <c r="L645"/>
    </row>
    <row r="646" spans="11:12" x14ac:dyDescent="0.2">
      <c r="K646"/>
      <c r="L646"/>
    </row>
    <row r="647" spans="11:12" x14ac:dyDescent="0.2">
      <c r="K647"/>
      <c r="L647"/>
    </row>
    <row r="648" spans="11:12" x14ac:dyDescent="0.2">
      <c r="K648"/>
      <c r="L648"/>
    </row>
    <row r="649" spans="11:12" x14ac:dyDescent="0.2">
      <c r="K649"/>
      <c r="L649"/>
    </row>
    <row r="650" spans="11:12" x14ac:dyDescent="0.2">
      <c r="K650"/>
      <c r="L650"/>
    </row>
    <row r="651" spans="11:12" x14ac:dyDescent="0.2">
      <c r="K651"/>
      <c r="L651"/>
    </row>
    <row r="652" spans="11:12" x14ac:dyDescent="0.2">
      <c r="K652"/>
      <c r="L652"/>
    </row>
    <row r="653" spans="11:12" x14ac:dyDescent="0.2">
      <c r="K653"/>
      <c r="L653"/>
    </row>
    <row r="654" spans="11:12" x14ac:dyDescent="0.2">
      <c r="K654"/>
      <c r="L654"/>
    </row>
    <row r="655" spans="11:12" x14ac:dyDescent="0.2">
      <c r="K655"/>
      <c r="L655"/>
    </row>
    <row r="656" spans="11:12" x14ac:dyDescent="0.2">
      <c r="K656"/>
      <c r="L656"/>
    </row>
    <row r="657" spans="11:12" x14ac:dyDescent="0.2">
      <c r="K657"/>
      <c r="L657"/>
    </row>
    <row r="658" spans="11:12" x14ac:dyDescent="0.2">
      <c r="K658"/>
      <c r="L658"/>
    </row>
    <row r="659" spans="11:12" x14ac:dyDescent="0.2">
      <c r="K659"/>
      <c r="L659"/>
    </row>
    <row r="660" spans="11:12" x14ac:dyDescent="0.2">
      <c r="K660"/>
      <c r="L660"/>
    </row>
    <row r="661" spans="11:12" x14ac:dyDescent="0.2">
      <c r="K661"/>
      <c r="L661"/>
    </row>
    <row r="662" spans="11:12" x14ac:dyDescent="0.2">
      <c r="K662"/>
      <c r="L662"/>
    </row>
    <row r="663" spans="11:12" x14ac:dyDescent="0.2">
      <c r="K663"/>
      <c r="L663"/>
    </row>
    <row r="664" spans="11:12" x14ac:dyDescent="0.2">
      <c r="K664"/>
      <c r="L664"/>
    </row>
    <row r="665" spans="11:12" x14ac:dyDescent="0.2">
      <c r="K665"/>
      <c r="L665"/>
    </row>
    <row r="666" spans="11:12" x14ac:dyDescent="0.2">
      <c r="K666"/>
      <c r="L666"/>
    </row>
    <row r="667" spans="11:12" x14ac:dyDescent="0.2">
      <c r="K667"/>
      <c r="L667"/>
    </row>
    <row r="668" spans="11:12" x14ac:dyDescent="0.2">
      <c r="K668"/>
      <c r="L668"/>
    </row>
    <row r="669" spans="11:12" x14ac:dyDescent="0.2">
      <c r="K669"/>
      <c r="L669"/>
    </row>
    <row r="670" spans="11:12" x14ac:dyDescent="0.2">
      <c r="K670"/>
      <c r="L670"/>
    </row>
    <row r="671" spans="11:12" x14ac:dyDescent="0.2">
      <c r="K671"/>
      <c r="L671"/>
    </row>
    <row r="672" spans="11:12" x14ac:dyDescent="0.2">
      <c r="K672"/>
      <c r="L672"/>
    </row>
    <row r="673" spans="11:12" x14ac:dyDescent="0.2">
      <c r="K673"/>
      <c r="L673"/>
    </row>
    <row r="674" spans="11:12" x14ac:dyDescent="0.2">
      <c r="K674"/>
      <c r="L674"/>
    </row>
    <row r="675" spans="11:12" x14ac:dyDescent="0.2">
      <c r="K675"/>
      <c r="L675"/>
    </row>
    <row r="676" spans="11:12" x14ac:dyDescent="0.2">
      <c r="K676"/>
      <c r="L676"/>
    </row>
    <row r="677" spans="11:12" x14ac:dyDescent="0.2">
      <c r="K677"/>
      <c r="L677"/>
    </row>
    <row r="678" spans="11:12" x14ac:dyDescent="0.2">
      <c r="K678"/>
      <c r="L678"/>
    </row>
    <row r="679" spans="11:12" x14ac:dyDescent="0.2">
      <c r="K679"/>
      <c r="L679"/>
    </row>
    <row r="680" spans="11:12" x14ac:dyDescent="0.2">
      <c r="K680"/>
      <c r="L680"/>
    </row>
    <row r="681" spans="11:12" x14ac:dyDescent="0.2">
      <c r="K681"/>
      <c r="L681"/>
    </row>
    <row r="682" spans="11:12" x14ac:dyDescent="0.2">
      <c r="K682"/>
      <c r="L682"/>
    </row>
    <row r="683" spans="11:12" x14ac:dyDescent="0.2">
      <c r="K683"/>
      <c r="L683"/>
    </row>
    <row r="684" spans="11:12" x14ac:dyDescent="0.2">
      <c r="K684"/>
      <c r="L684"/>
    </row>
    <row r="685" spans="11:12" x14ac:dyDescent="0.2">
      <c r="K685"/>
      <c r="L685"/>
    </row>
    <row r="686" spans="11:12" x14ac:dyDescent="0.2">
      <c r="K686"/>
      <c r="L686"/>
    </row>
    <row r="687" spans="11:12" x14ac:dyDescent="0.2">
      <c r="K687"/>
      <c r="L687"/>
    </row>
    <row r="688" spans="11:12" x14ac:dyDescent="0.2">
      <c r="K688"/>
      <c r="L688"/>
    </row>
    <row r="689" spans="11:12" x14ac:dyDescent="0.2">
      <c r="K689"/>
      <c r="L689"/>
    </row>
    <row r="690" spans="11:12" x14ac:dyDescent="0.2">
      <c r="K690"/>
      <c r="L690"/>
    </row>
    <row r="691" spans="11:12" x14ac:dyDescent="0.2">
      <c r="K691"/>
      <c r="L691"/>
    </row>
    <row r="692" spans="11:12" x14ac:dyDescent="0.2">
      <c r="K692"/>
      <c r="L692"/>
    </row>
    <row r="693" spans="11:12" x14ac:dyDescent="0.2">
      <c r="K693"/>
      <c r="L693"/>
    </row>
    <row r="694" spans="11:12" x14ac:dyDescent="0.2">
      <c r="K694"/>
      <c r="L694"/>
    </row>
    <row r="695" spans="11:12" x14ac:dyDescent="0.2">
      <c r="K695"/>
      <c r="L695"/>
    </row>
    <row r="696" spans="11:12" x14ac:dyDescent="0.2">
      <c r="K696"/>
      <c r="L696"/>
    </row>
    <row r="697" spans="11:12" x14ac:dyDescent="0.2">
      <c r="K697"/>
      <c r="L697"/>
    </row>
    <row r="698" spans="11:12" x14ac:dyDescent="0.2">
      <c r="K698"/>
      <c r="L698"/>
    </row>
    <row r="699" spans="11:12" x14ac:dyDescent="0.2">
      <c r="K699"/>
      <c r="L699"/>
    </row>
    <row r="700" spans="11:12" x14ac:dyDescent="0.2">
      <c r="K700"/>
      <c r="L700"/>
    </row>
    <row r="701" spans="11:12" x14ac:dyDescent="0.2">
      <c r="K701"/>
      <c r="L701"/>
    </row>
    <row r="702" spans="11:12" x14ac:dyDescent="0.2">
      <c r="K702"/>
      <c r="L702"/>
    </row>
    <row r="703" spans="11:12" x14ac:dyDescent="0.2">
      <c r="K703"/>
      <c r="L703"/>
    </row>
    <row r="704" spans="11:12" x14ac:dyDescent="0.2">
      <c r="K704"/>
      <c r="L704"/>
    </row>
    <row r="705" spans="11:12" x14ac:dyDescent="0.2">
      <c r="K705"/>
      <c r="L705"/>
    </row>
    <row r="706" spans="11:12" x14ac:dyDescent="0.2">
      <c r="K706"/>
      <c r="L706"/>
    </row>
    <row r="707" spans="11:12" x14ac:dyDescent="0.2">
      <c r="K707"/>
      <c r="L707"/>
    </row>
    <row r="708" spans="11:12" x14ac:dyDescent="0.2">
      <c r="K708"/>
      <c r="L708"/>
    </row>
    <row r="709" spans="11:12" x14ac:dyDescent="0.2">
      <c r="K709"/>
      <c r="L709"/>
    </row>
    <row r="710" spans="11:12" x14ac:dyDescent="0.2">
      <c r="K710"/>
      <c r="L710"/>
    </row>
    <row r="711" spans="11:12" x14ac:dyDescent="0.2">
      <c r="K711"/>
      <c r="L711"/>
    </row>
    <row r="712" spans="11:12" x14ac:dyDescent="0.2">
      <c r="K712"/>
      <c r="L712"/>
    </row>
    <row r="713" spans="11:12" x14ac:dyDescent="0.2">
      <c r="K713"/>
      <c r="L713"/>
    </row>
    <row r="714" spans="11:12" x14ac:dyDescent="0.2">
      <c r="K714"/>
      <c r="L714"/>
    </row>
    <row r="715" spans="11:12" x14ac:dyDescent="0.2">
      <c r="K715"/>
      <c r="L715"/>
    </row>
    <row r="716" spans="11:12" x14ac:dyDescent="0.2">
      <c r="K716"/>
      <c r="L716"/>
    </row>
    <row r="717" spans="11:12" x14ac:dyDescent="0.2">
      <c r="K717"/>
      <c r="L717"/>
    </row>
    <row r="718" spans="11:12" x14ac:dyDescent="0.2">
      <c r="K718"/>
      <c r="L718"/>
    </row>
    <row r="719" spans="11:12" x14ac:dyDescent="0.2">
      <c r="K719"/>
      <c r="L719"/>
    </row>
    <row r="720" spans="11:12" x14ac:dyDescent="0.2">
      <c r="K720"/>
      <c r="L720"/>
    </row>
    <row r="721" spans="11:12" x14ac:dyDescent="0.2">
      <c r="K721"/>
      <c r="L721"/>
    </row>
    <row r="722" spans="11:12" x14ac:dyDescent="0.2">
      <c r="K722"/>
      <c r="L722"/>
    </row>
    <row r="723" spans="11:12" x14ac:dyDescent="0.2">
      <c r="K723"/>
      <c r="L723"/>
    </row>
    <row r="724" spans="11:12" x14ac:dyDescent="0.2">
      <c r="K724"/>
      <c r="L724"/>
    </row>
    <row r="725" spans="11:12" x14ac:dyDescent="0.2">
      <c r="K725"/>
      <c r="L725"/>
    </row>
    <row r="726" spans="11:12" x14ac:dyDescent="0.2">
      <c r="K726"/>
      <c r="L726"/>
    </row>
    <row r="727" spans="11:12" x14ac:dyDescent="0.2">
      <c r="K727"/>
      <c r="L727"/>
    </row>
    <row r="728" spans="11:12" x14ac:dyDescent="0.2">
      <c r="K728"/>
      <c r="L728"/>
    </row>
    <row r="729" spans="11:12" x14ac:dyDescent="0.2">
      <c r="K729"/>
      <c r="L729"/>
    </row>
    <row r="730" spans="11:12" x14ac:dyDescent="0.2">
      <c r="K730"/>
      <c r="L730"/>
    </row>
    <row r="731" spans="11:12" x14ac:dyDescent="0.2">
      <c r="K731"/>
      <c r="L731"/>
    </row>
    <row r="732" spans="11:12" x14ac:dyDescent="0.2">
      <c r="K732"/>
      <c r="L732"/>
    </row>
    <row r="733" spans="11:12" x14ac:dyDescent="0.2">
      <c r="K733"/>
      <c r="L733"/>
    </row>
    <row r="734" spans="11:12" x14ac:dyDescent="0.2">
      <c r="K734"/>
      <c r="L734"/>
    </row>
    <row r="735" spans="11:12" x14ac:dyDescent="0.2">
      <c r="K735"/>
      <c r="L735"/>
    </row>
    <row r="736" spans="11:12" x14ac:dyDescent="0.2">
      <c r="K736"/>
      <c r="L736"/>
    </row>
    <row r="737" spans="11:12" x14ac:dyDescent="0.2">
      <c r="K737"/>
      <c r="L737"/>
    </row>
    <row r="738" spans="11:12" x14ac:dyDescent="0.2">
      <c r="K738"/>
      <c r="L738"/>
    </row>
    <row r="739" spans="11:12" x14ac:dyDescent="0.2">
      <c r="K739"/>
      <c r="L739"/>
    </row>
    <row r="740" spans="11:12" x14ac:dyDescent="0.2">
      <c r="K740"/>
      <c r="L740"/>
    </row>
    <row r="741" spans="11:12" x14ac:dyDescent="0.2">
      <c r="K741"/>
      <c r="L741"/>
    </row>
    <row r="742" spans="11:12" x14ac:dyDescent="0.2">
      <c r="K742"/>
      <c r="L742"/>
    </row>
    <row r="743" spans="11:12" x14ac:dyDescent="0.2">
      <c r="K743"/>
      <c r="L743"/>
    </row>
    <row r="744" spans="11:12" x14ac:dyDescent="0.2">
      <c r="K744"/>
      <c r="L744"/>
    </row>
    <row r="745" spans="11:12" x14ac:dyDescent="0.2">
      <c r="K745"/>
      <c r="L745"/>
    </row>
    <row r="746" spans="11:12" x14ac:dyDescent="0.2">
      <c r="K746"/>
      <c r="L746"/>
    </row>
    <row r="747" spans="11:12" x14ac:dyDescent="0.2">
      <c r="K747"/>
      <c r="L747"/>
    </row>
    <row r="748" spans="11:12" x14ac:dyDescent="0.2">
      <c r="K748"/>
      <c r="L748"/>
    </row>
    <row r="749" spans="11:12" x14ac:dyDescent="0.2">
      <c r="K749"/>
      <c r="L749"/>
    </row>
    <row r="750" spans="11:12" x14ac:dyDescent="0.2">
      <c r="K750"/>
      <c r="L750"/>
    </row>
    <row r="751" spans="11:12" x14ac:dyDescent="0.2">
      <c r="K751"/>
      <c r="L751"/>
    </row>
    <row r="752" spans="11:12" x14ac:dyDescent="0.2">
      <c r="K752"/>
      <c r="L752"/>
    </row>
    <row r="753" spans="11:12" x14ac:dyDescent="0.2">
      <c r="K753"/>
      <c r="L753"/>
    </row>
    <row r="754" spans="11:12" x14ac:dyDescent="0.2">
      <c r="K754"/>
      <c r="L754"/>
    </row>
    <row r="755" spans="11:12" x14ac:dyDescent="0.2">
      <c r="K755"/>
      <c r="L755"/>
    </row>
    <row r="756" spans="11:12" x14ac:dyDescent="0.2">
      <c r="K756"/>
      <c r="L756"/>
    </row>
    <row r="757" spans="11:12" x14ac:dyDescent="0.2">
      <c r="K757"/>
      <c r="L757"/>
    </row>
    <row r="758" spans="11:12" x14ac:dyDescent="0.2">
      <c r="K758"/>
      <c r="L758"/>
    </row>
    <row r="759" spans="11:12" x14ac:dyDescent="0.2">
      <c r="K759"/>
      <c r="L759"/>
    </row>
    <row r="760" spans="11:12" x14ac:dyDescent="0.2">
      <c r="K760"/>
      <c r="L760"/>
    </row>
    <row r="761" spans="11:12" x14ac:dyDescent="0.2">
      <c r="K761"/>
      <c r="L761"/>
    </row>
    <row r="762" spans="11:12" x14ac:dyDescent="0.2">
      <c r="K762"/>
      <c r="L762"/>
    </row>
    <row r="763" spans="11:12" x14ac:dyDescent="0.2">
      <c r="K763"/>
      <c r="L763"/>
    </row>
    <row r="764" spans="11:12" x14ac:dyDescent="0.2">
      <c r="K764"/>
      <c r="L764"/>
    </row>
    <row r="765" spans="11:12" x14ac:dyDescent="0.2">
      <c r="K765"/>
      <c r="L765"/>
    </row>
    <row r="766" spans="11:12" x14ac:dyDescent="0.2">
      <c r="K766"/>
      <c r="L766"/>
    </row>
    <row r="767" spans="11:12" x14ac:dyDescent="0.2">
      <c r="K767"/>
      <c r="L767"/>
    </row>
    <row r="768" spans="11:12" x14ac:dyDescent="0.2">
      <c r="K768"/>
      <c r="L768"/>
    </row>
    <row r="769" spans="11:12" x14ac:dyDescent="0.2">
      <c r="K769"/>
      <c r="L769"/>
    </row>
    <row r="770" spans="11:12" x14ac:dyDescent="0.2">
      <c r="K770"/>
      <c r="L770"/>
    </row>
    <row r="771" spans="11:12" x14ac:dyDescent="0.2">
      <c r="K771"/>
      <c r="L771"/>
    </row>
    <row r="772" spans="11:12" x14ac:dyDescent="0.2">
      <c r="K772"/>
      <c r="L772"/>
    </row>
    <row r="773" spans="11:12" x14ac:dyDescent="0.2">
      <c r="K773"/>
      <c r="L773"/>
    </row>
    <row r="774" spans="11:12" x14ac:dyDescent="0.2">
      <c r="K774"/>
      <c r="L774"/>
    </row>
    <row r="775" spans="11:12" x14ac:dyDescent="0.2">
      <c r="K775"/>
      <c r="L775"/>
    </row>
    <row r="776" spans="11:12" x14ac:dyDescent="0.2">
      <c r="K776"/>
      <c r="L776"/>
    </row>
    <row r="777" spans="11:12" x14ac:dyDescent="0.2">
      <c r="K777"/>
      <c r="L777"/>
    </row>
    <row r="778" spans="11:12" x14ac:dyDescent="0.2">
      <c r="K778"/>
      <c r="L778"/>
    </row>
    <row r="779" spans="11:12" x14ac:dyDescent="0.2">
      <c r="K779"/>
      <c r="L779"/>
    </row>
    <row r="780" spans="11:12" x14ac:dyDescent="0.2">
      <c r="K780"/>
      <c r="L780"/>
    </row>
    <row r="781" spans="11:12" x14ac:dyDescent="0.2">
      <c r="K781"/>
      <c r="L781"/>
    </row>
    <row r="782" spans="11:12" x14ac:dyDescent="0.2">
      <c r="K782"/>
      <c r="L782"/>
    </row>
    <row r="783" spans="11:12" x14ac:dyDescent="0.2">
      <c r="K783"/>
      <c r="L783"/>
    </row>
    <row r="784" spans="11:12" x14ac:dyDescent="0.2">
      <c r="K784"/>
      <c r="L784"/>
    </row>
    <row r="785" spans="11:12" x14ac:dyDescent="0.2">
      <c r="K785"/>
      <c r="L785"/>
    </row>
    <row r="786" spans="11:12" x14ac:dyDescent="0.2">
      <c r="K786"/>
      <c r="L786"/>
    </row>
    <row r="787" spans="11:12" x14ac:dyDescent="0.2">
      <c r="K787"/>
      <c r="L787"/>
    </row>
    <row r="788" spans="11:12" x14ac:dyDescent="0.2">
      <c r="K788"/>
      <c r="L788"/>
    </row>
    <row r="789" spans="11:12" x14ac:dyDescent="0.2">
      <c r="K789"/>
      <c r="L789"/>
    </row>
    <row r="790" spans="11:12" x14ac:dyDescent="0.2">
      <c r="K790"/>
      <c r="L790"/>
    </row>
    <row r="791" spans="11:12" x14ac:dyDescent="0.2">
      <c r="K791"/>
      <c r="L791"/>
    </row>
    <row r="792" spans="11:12" x14ac:dyDescent="0.2">
      <c r="K792"/>
      <c r="L792"/>
    </row>
    <row r="793" spans="11:12" x14ac:dyDescent="0.2">
      <c r="K793"/>
      <c r="L793"/>
    </row>
    <row r="794" spans="11:12" x14ac:dyDescent="0.2">
      <c r="K794"/>
      <c r="L794"/>
    </row>
    <row r="795" spans="11:12" x14ac:dyDescent="0.2">
      <c r="K795"/>
      <c r="L795"/>
    </row>
    <row r="796" spans="11:12" x14ac:dyDescent="0.2">
      <c r="K796"/>
      <c r="L796"/>
    </row>
    <row r="797" spans="11:12" x14ac:dyDescent="0.2">
      <c r="K797"/>
      <c r="L797"/>
    </row>
    <row r="798" spans="11:12" x14ac:dyDescent="0.2">
      <c r="K798"/>
      <c r="L798"/>
    </row>
    <row r="799" spans="11:12" x14ac:dyDescent="0.2">
      <c r="K799"/>
      <c r="L799"/>
    </row>
    <row r="800" spans="11:12" x14ac:dyDescent="0.2">
      <c r="K800"/>
      <c r="L800"/>
    </row>
    <row r="801" spans="11:12" x14ac:dyDescent="0.2">
      <c r="K801"/>
      <c r="L801"/>
    </row>
    <row r="802" spans="11:12" x14ac:dyDescent="0.2">
      <c r="K802"/>
      <c r="L802"/>
    </row>
    <row r="803" spans="11:12" x14ac:dyDescent="0.2">
      <c r="K803"/>
      <c r="L803"/>
    </row>
    <row r="804" spans="11:12" x14ac:dyDescent="0.2">
      <c r="K804"/>
      <c r="L804"/>
    </row>
    <row r="805" spans="11:12" x14ac:dyDescent="0.2">
      <c r="K805"/>
      <c r="L805"/>
    </row>
    <row r="806" spans="11:12" x14ac:dyDescent="0.2">
      <c r="K806"/>
      <c r="L806"/>
    </row>
    <row r="807" spans="11:12" x14ac:dyDescent="0.2">
      <c r="K807"/>
      <c r="L807"/>
    </row>
    <row r="808" spans="11:12" x14ac:dyDescent="0.2">
      <c r="K808"/>
      <c r="L808"/>
    </row>
    <row r="809" spans="11:12" x14ac:dyDescent="0.2">
      <c r="K809"/>
      <c r="L809"/>
    </row>
    <row r="810" spans="11:12" x14ac:dyDescent="0.2">
      <c r="K810"/>
      <c r="L810"/>
    </row>
    <row r="811" spans="11:12" x14ac:dyDescent="0.2">
      <c r="K811"/>
      <c r="L811"/>
    </row>
    <row r="812" spans="11:12" x14ac:dyDescent="0.2">
      <c r="K812"/>
      <c r="L812"/>
    </row>
    <row r="813" spans="11:12" x14ac:dyDescent="0.2">
      <c r="K813"/>
      <c r="L813"/>
    </row>
    <row r="814" spans="11:12" x14ac:dyDescent="0.2">
      <c r="K814"/>
      <c r="L814"/>
    </row>
    <row r="815" spans="11:12" x14ac:dyDescent="0.2">
      <c r="K815"/>
      <c r="L815"/>
    </row>
    <row r="816" spans="11:12" x14ac:dyDescent="0.2">
      <c r="K816"/>
      <c r="L816"/>
    </row>
    <row r="817" spans="11:12" x14ac:dyDescent="0.2">
      <c r="K817"/>
      <c r="L817"/>
    </row>
    <row r="818" spans="11:12" x14ac:dyDescent="0.2">
      <c r="K818"/>
      <c r="L818"/>
    </row>
    <row r="819" spans="11:12" x14ac:dyDescent="0.2">
      <c r="K819"/>
      <c r="L819"/>
    </row>
    <row r="820" spans="11:12" x14ac:dyDescent="0.2">
      <c r="K820"/>
      <c r="L820"/>
    </row>
    <row r="821" spans="11:12" x14ac:dyDescent="0.2">
      <c r="K821"/>
      <c r="L821"/>
    </row>
    <row r="822" spans="11:12" x14ac:dyDescent="0.2">
      <c r="K822"/>
      <c r="L822"/>
    </row>
    <row r="823" spans="11:12" x14ac:dyDescent="0.2">
      <c r="K823"/>
      <c r="L823"/>
    </row>
    <row r="824" spans="11:12" x14ac:dyDescent="0.2">
      <c r="K824"/>
      <c r="L824"/>
    </row>
    <row r="825" spans="11:12" x14ac:dyDescent="0.2">
      <c r="K825"/>
      <c r="L825"/>
    </row>
    <row r="826" spans="11:12" x14ac:dyDescent="0.2">
      <c r="K826"/>
      <c r="L826"/>
    </row>
    <row r="827" spans="11:12" x14ac:dyDescent="0.2">
      <c r="K827"/>
      <c r="L827"/>
    </row>
    <row r="828" spans="11:12" x14ac:dyDescent="0.2">
      <c r="K828"/>
      <c r="L828"/>
    </row>
    <row r="829" spans="11:12" x14ac:dyDescent="0.2">
      <c r="K829"/>
      <c r="L829"/>
    </row>
    <row r="830" spans="11:12" x14ac:dyDescent="0.2">
      <c r="K830"/>
      <c r="L830"/>
    </row>
    <row r="831" spans="11:12" x14ac:dyDescent="0.2">
      <c r="K831"/>
      <c r="L831"/>
    </row>
    <row r="832" spans="11:12" x14ac:dyDescent="0.2">
      <c r="K832"/>
      <c r="L832"/>
    </row>
    <row r="833" spans="11:12" x14ac:dyDescent="0.2">
      <c r="K833"/>
      <c r="L833"/>
    </row>
    <row r="834" spans="11:12" x14ac:dyDescent="0.2">
      <c r="K834"/>
      <c r="L834"/>
    </row>
    <row r="835" spans="11:12" x14ac:dyDescent="0.2">
      <c r="K835"/>
      <c r="L835"/>
    </row>
    <row r="836" spans="11:12" x14ac:dyDescent="0.2">
      <c r="K836"/>
      <c r="L836"/>
    </row>
    <row r="837" spans="11:12" x14ac:dyDescent="0.2">
      <c r="K837"/>
      <c r="L837"/>
    </row>
    <row r="838" spans="11:12" x14ac:dyDescent="0.2">
      <c r="K838"/>
      <c r="L838"/>
    </row>
    <row r="839" spans="11:12" x14ac:dyDescent="0.2">
      <c r="K839"/>
      <c r="L839"/>
    </row>
    <row r="840" spans="11:12" x14ac:dyDescent="0.2">
      <c r="K840"/>
      <c r="L840"/>
    </row>
    <row r="841" spans="11:12" x14ac:dyDescent="0.2">
      <c r="K841"/>
      <c r="L841"/>
    </row>
    <row r="842" spans="11:12" x14ac:dyDescent="0.2">
      <c r="K842"/>
      <c r="L842"/>
    </row>
    <row r="843" spans="11:12" x14ac:dyDescent="0.2">
      <c r="K843"/>
      <c r="L843"/>
    </row>
    <row r="844" spans="11:12" x14ac:dyDescent="0.2">
      <c r="K844"/>
      <c r="L844"/>
    </row>
    <row r="845" spans="11:12" x14ac:dyDescent="0.2">
      <c r="K845"/>
      <c r="L845"/>
    </row>
    <row r="846" spans="11:12" x14ac:dyDescent="0.2">
      <c r="K846"/>
      <c r="L846"/>
    </row>
    <row r="847" spans="11:12" x14ac:dyDescent="0.2">
      <c r="K847"/>
      <c r="L847"/>
    </row>
    <row r="848" spans="11:12" x14ac:dyDescent="0.2">
      <c r="K848"/>
      <c r="L848"/>
    </row>
    <row r="849" spans="11:12" x14ac:dyDescent="0.2">
      <c r="K849"/>
      <c r="L849"/>
    </row>
    <row r="850" spans="11:12" x14ac:dyDescent="0.2">
      <c r="K850"/>
      <c r="L850"/>
    </row>
    <row r="851" spans="11:12" x14ac:dyDescent="0.2">
      <c r="K851"/>
      <c r="L851"/>
    </row>
    <row r="852" spans="11:12" x14ac:dyDescent="0.2">
      <c r="K852"/>
      <c r="L852"/>
    </row>
    <row r="853" spans="11:12" x14ac:dyDescent="0.2">
      <c r="K853"/>
      <c r="L853"/>
    </row>
    <row r="854" spans="11:12" x14ac:dyDescent="0.2">
      <c r="K854"/>
      <c r="L854"/>
    </row>
    <row r="855" spans="11:12" x14ac:dyDescent="0.2">
      <c r="K855"/>
      <c r="L855"/>
    </row>
    <row r="856" spans="11:12" x14ac:dyDescent="0.2">
      <c r="K856"/>
      <c r="L856"/>
    </row>
    <row r="857" spans="11:12" x14ac:dyDescent="0.2">
      <c r="K857"/>
      <c r="L857"/>
    </row>
    <row r="858" spans="11:12" x14ac:dyDescent="0.2">
      <c r="K858"/>
      <c r="L858"/>
    </row>
    <row r="859" spans="11:12" x14ac:dyDescent="0.2">
      <c r="K859"/>
      <c r="L859"/>
    </row>
    <row r="860" spans="11:12" x14ac:dyDescent="0.2">
      <c r="K860"/>
      <c r="L860"/>
    </row>
    <row r="861" spans="11:12" x14ac:dyDescent="0.2">
      <c r="K861"/>
      <c r="L861"/>
    </row>
    <row r="862" spans="11:12" x14ac:dyDescent="0.2">
      <c r="K862"/>
      <c r="L862"/>
    </row>
    <row r="863" spans="11:12" x14ac:dyDescent="0.2">
      <c r="K863"/>
      <c r="L863"/>
    </row>
    <row r="864" spans="11:12" x14ac:dyDescent="0.2">
      <c r="K864"/>
      <c r="L864"/>
    </row>
    <row r="865" spans="11:12" x14ac:dyDescent="0.2">
      <c r="K865"/>
      <c r="L865"/>
    </row>
    <row r="866" spans="11:12" x14ac:dyDescent="0.2">
      <c r="K866"/>
      <c r="L866"/>
    </row>
    <row r="867" spans="11:12" x14ac:dyDescent="0.2">
      <c r="K867"/>
      <c r="L867"/>
    </row>
    <row r="868" spans="11:12" x14ac:dyDescent="0.2">
      <c r="K868"/>
      <c r="L868"/>
    </row>
    <row r="869" spans="11:12" x14ac:dyDescent="0.2">
      <c r="K869"/>
      <c r="L869"/>
    </row>
    <row r="870" spans="11:12" x14ac:dyDescent="0.2">
      <c r="K870"/>
      <c r="L870"/>
    </row>
    <row r="871" spans="11:12" x14ac:dyDescent="0.2">
      <c r="K871"/>
      <c r="L871"/>
    </row>
    <row r="872" spans="11:12" x14ac:dyDescent="0.2">
      <c r="K872"/>
      <c r="L872"/>
    </row>
    <row r="873" spans="11:12" x14ac:dyDescent="0.2">
      <c r="K873"/>
      <c r="L873"/>
    </row>
    <row r="874" spans="11:12" x14ac:dyDescent="0.2">
      <c r="K874"/>
      <c r="L874"/>
    </row>
    <row r="875" spans="11:12" x14ac:dyDescent="0.2">
      <c r="K875"/>
      <c r="L875"/>
    </row>
    <row r="876" spans="11:12" x14ac:dyDescent="0.2">
      <c r="K876"/>
      <c r="L876"/>
    </row>
    <row r="877" spans="11:12" x14ac:dyDescent="0.2">
      <c r="K877"/>
      <c r="L877"/>
    </row>
    <row r="878" spans="11:12" x14ac:dyDescent="0.2">
      <c r="K878"/>
      <c r="L878"/>
    </row>
    <row r="879" spans="11:12" x14ac:dyDescent="0.2">
      <c r="K879"/>
      <c r="L879"/>
    </row>
    <row r="880" spans="11:12" x14ac:dyDescent="0.2">
      <c r="K880"/>
      <c r="L880"/>
    </row>
    <row r="881" spans="11:12" x14ac:dyDescent="0.2">
      <c r="K881"/>
      <c r="L881"/>
    </row>
    <row r="882" spans="11:12" x14ac:dyDescent="0.2">
      <c r="K882"/>
      <c r="L882"/>
    </row>
    <row r="883" spans="11:12" x14ac:dyDescent="0.2">
      <c r="K883"/>
      <c r="L883"/>
    </row>
    <row r="884" spans="11:12" x14ac:dyDescent="0.2">
      <c r="K884"/>
      <c r="L884"/>
    </row>
    <row r="885" spans="11:12" x14ac:dyDescent="0.2">
      <c r="K885"/>
      <c r="L885"/>
    </row>
    <row r="886" spans="11:12" x14ac:dyDescent="0.2">
      <c r="K886"/>
      <c r="L886"/>
    </row>
    <row r="887" spans="11:12" x14ac:dyDescent="0.2">
      <c r="K887"/>
      <c r="L887"/>
    </row>
    <row r="888" spans="11:12" x14ac:dyDescent="0.2">
      <c r="K888"/>
      <c r="L888"/>
    </row>
    <row r="889" spans="11:12" x14ac:dyDescent="0.2">
      <c r="K889"/>
      <c r="L889"/>
    </row>
    <row r="890" spans="11:12" x14ac:dyDescent="0.2">
      <c r="K890"/>
      <c r="L890"/>
    </row>
    <row r="891" spans="11:12" x14ac:dyDescent="0.2">
      <c r="K891"/>
      <c r="L891"/>
    </row>
    <row r="892" spans="11:12" x14ac:dyDescent="0.2">
      <c r="K892"/>
      <c r="L892"/>
    </row>
    <row r="893" spans="11:12" x14ac:dyDescent="0.2">
      <c r="K893"/>
      <c r="L893"/>
    </row>
    <row r="894" spans="11:12" x14ac:dyDescent="0.2">
      <c r="K894"/>
      <c r="L894"/>
    </row>
    <row r="895" spans="11:12" x14ac:dyDescent="0.2">
      <c r="K895"/>
      <c r="L895"/>
    </row>
    <row r="896" spans="11:12" x14ac:dyDescent="0.2">
      <c r="K896"/>
      <c r="L896"/>
    </row>
    <row r="897" spans="11:12" x14ac:dyDescent="0.2">
      <c r="K897"/>
      <c r="L897"/>
    </row>
    <row r="898" spans="11:12" x14ac:dyDescent="0.2">
      <c r="K898"/>
      <c r="L898"/>
    </row>
    <row r="899" spans="11:12" x14ac:dyDescent="0.2">
      <c r="K899"/>
      <c r="L899"/>
    </row>
    <row r="900" spans="11:12" x14ac:dyDescent="0.2">
      <c r="K900"/>
      <c r="L900"/>
    </row>
    <row r="901" spans="11:12" x14ac:dyDescent="0.2">
      <c r="K901"/>
      <c r="L901"/>
    </row>
    <row r="902" spans="11:12" x14ac:dyDescent="0.2">
      <c r="K902"/>
      <c r="L902"/>
    </row>
    <row r="903" spans="11:12" x14ac:dyDescent="0.2">
      <c r="K903"/>
      <c r="L903"/>
    </row>
    <row r="904" spans="11:12" x14ac:dyDescent="0.2">
      <c r="K904"/>
      <c r="L904"/>
    </row>
    <row r="905" spans="11:12" x14ac:dyDescent="0.2">
      <c r="K905"/>
      <c r="L905"/>
    </row>
    <row r="906" spans="11:12" x14ac:dyDescent="0.2">
      <c r="K906"/>
      <c r="L906"/>
    </row>
    <row r="907" spans="11:12" x14ac:dyDescent="0.2">
      <c r="K907"/>
      <c r="L907"/>
    </row>
    <row r="908" spans="11:12" x14ac:dyDescent="0.2">
      <c r="K908"/>
      <c r="L908"/>
    </row>
    <row r="909" spans="11:12" x14ac:dyDescent="0.2">
      <c r="K909"/>
      <c r="L909"/>
    </row>
    <row r="910" spans="11:12" x14ac:dyDescent="0.2">
      <c r="K910"/>
      <c r="L910"/>
    </row>
    <row r="911" spans="11:12" x14ac:dyDescent="0.2">
      <c r="K911"/>
      <c r="L911"/>
    </row>
    <row r="912" spans="11:12" x14ac:dyDescent="0.2">
      <c r="K912"/>
      <c r="L912"/>
    </row>
    <row r="913" spans="11:12" x14ac:dyDescent="0.2">
      <c r="K913"/>
      <c r="L913"/>
    </row>
    <row r="914" spans="11:12" x14ac:dyDescent="0.2">
      <c r="K914"/>
      <c r="L914"/>
    </row>
    <row r="915" spans="11:12" x14ac:dyDescent="0.2">
      <c r="K915"/>
      <c r="L915"/>
    </row>
    <row r="916" spans="11:12" x14ac:dyDescent="0.2">
      <c r="K916"/>
      <c r="L916"/>
    </row>
    <row r="917" spans="11:12" x14ac:dyDescent="0.2">
      <c r="K917"/>
      <c r="L917"/>
    </row>
    <row r="918" spans="11:12" x14ac:dyDescent="0.2">
      <c r="K918"/>
      <c r="L918"/>
    </row>
    <row r="919" spans="11:12" x14ac:dyDescent="0.2">
      <c r="K919"/>
      <c r="L919"/>
    </row>
    <row r="920" spans="11:12" x14ac:dyDescent="0.2">
      <c r="K920"/>
      <c r="L920"/>
    </row>
    <row r="921" spans="11:12" x14ac:dyDescent="0.2">
      <c r="K921"/>
      <c r="L921"/>
    </row>
    <row r="922" spans="11:12" x14ac:dyDescent="0.2">
      <c r="K922"/>
      <c r="L922"/>
    </row>
    <row r="923" spans="11:12" x14ac:dyDescent="0.2">
      <c r="K923"/>
      <c r="L923"/>
    </row>
    <row r="924" spans="11:12" x14ac:dyDescent="0.2">
      <c r="K924"/>
      <c r="L924"/>
    </row>
    <row r="925" spans="11:12" x14ac:dyDescent="0.2">
      <c r="K925"/>
      <c r="L925"/>
    </row>
    <row r="926" spans="11:12" x14ac:dyDescent="0.2">
      <c r="K926"/>
      <c r="L926"/>
    </row>
    <row r="927" spans="11:12" x14ac:dyDescent="0.2">
      <c r="K927"/>
      <c r="L927"/>
    </row>
    <row r="928" spans="11:12" x14ac:dyDescent="0.2">
      <c r="K928"/>
      <c r="L928"/>
    </row>
    <row r="929" spans="11:12" x14ac:dyDescent="0.2">
      <c r="K929"/>
      <c r="L929"/>
    </row>
    <row r="930" spans="11:12" x14ac:dyDescent="0.2">
      <c r="K930"/>
      <c r="L930"/>
    </row>
    <row r="931" spans="11:12" x14ac:dyDescent="0.2">
      <c r="K931"/>
      <c r="L931"/>
    </row>
    <row r="932" spans="11:12" x14ac:dyDescent="0.2">
      <c r="K932"/>
      <c r="L932"/>
    </row>
    <row r="933" spans="11:12" x14ac:dyDescent="0.2">
      <c r="K933"/>
      <c r="L933"/>
    </row>
    <row r="934" spans="11:12" x14ac:dyDescent="0.2">
      <c r="K934"/>
      <c r="L934"/>
    </row>
    <row r="935" spans="11:12" x14ac:dyDescent="0.2">
      <c r="K935"/>
      <c r="L935"/>
    </row>
    <row r="936" spans="11:12" x14ac:dyDescent="0.2">
      <c r="K936"/>
      <c r="L936"/>
    </row>
    <row r="937" spans="11:12" x14ac:dyDescent="0.2">
      <c r="K937"/>
      <c r="L937"/>
    </row>
    <row r="938" spans="11:12" x14ac:dyDescent="0.2">
      <c r="K938"/>
      <c r="L938"/>
    </row>
    <row r="939" spans="11:12" x14ac:dyDescent="0.2">
      <c r="K939"/>
      <c r="L939"/>
    </row>
    <row r="940" spans="11:12" x14ac:dyDescent="0.2">
      <c r="K940"/>
      <c r="L940"/>
    </row>
    <row r="941" spans="11:12" x14ac:dyDescent="0.2">
      <c r="K941"/>
      <c r="L941"/>
    </row>
    <row r="942" spans="11:12" x14ac:dyDescent="0.2">
      <c r="K942"/>
      <c r="L942"/>
    </row>
    <row r="943" spans="11:12" x14ac:dyDescent="0.2">
      <c r="K943"/>
      <c r="L943"/>
    </row>
    <row r="944" spans="11:12" x14ac:dyDescent="0.2">
      <c r="K944"/>
      <c r="L944"/>
    </row>
    <row r="945" spans="11:12" x14ac:dyDescent="0.2">
      <c r="K945"/>
      <c r="L945"/>
    </row>
    <row r="946" spans="11:12" x14ac:dyDescent="0.2">
      <c r="K946"/>
      <c r="L946"/>
    </row>
    <row r="947" spans="11:12" x14ac:dyDescent="0.2">
      <c r="K947"/>
      <c r="L947"/>
    </row>
    <row r="948" spans="11:12" x14ac:dyDescent="0.2">
      <c r="K948"/>
      <c r="L948"/>
    </row>
    <row r="949" spans="11:12" x14ac:dyDescent="0.2">
      <c r="K949"/>
      <c r="L949"/>
    </row>
    <row r="950" spans="11:12" x14ac:dyDescent="0.2">
      <c r="K950"/>
      <c r="L950"/>
    </row>
    <row r="951" spans="11:12" x14ac:dyDescent="0.2">
      <c r="K951"/>
      <c r="L951"/>
    </row>
    <row r="952" spans="11:12" x14ac:dyDescent="0.2">
      <c r="K952"/>
      <c r="L952"/>
    </row>
    <row r="953" spans="11:12" x14ac:dyDescent="0.2">
      <c r="K953"/>
      <c r="L953"/>
    </row>
    <row r="954" spans="11:12" x14ac:dyDescent="0.2">
      <c r="K954"/>
      <c r="L954"/>
    </row>
    <row r="955" spans="11:12" x14ac:dyDescent="0.2">
      <c r="K955"/>
      <c r="L955"/>
    </row>
    <row r="956" spans="11:12" x14ac:dyDescent="0.2">
      <c r="K956"/>
      <c r="L956"/>
    </row>
    <row r="957" spans="11:12" x14ac:dyDescent="0.2">
      <c r="K957"/>
      <c r="L957"/>
    </row>
    <row r="958" spans="11:12" x14ac:dyDescent="0.2">
      <c r="K958"/>
      <c r="L958"/>
    </row>
    <row r="959" spans="11:12" x14ac:dyDescent="0.2">
      <c r="K959"/>
      <c r="L959"/>
    </row>
    <row r="960" spans="11:12" x14ac:dyDescent="0.2">
      <c r="K960"/>
      <c r="L960"/>
    </row>
    <row r="961" spans="11:12" x14ac:dyDescent="0.2">
      <c r="K961"/>
      <c r="L961"/>
    </row>
    <row r="962" spans="11:12" x14ac:dyDescent="0.2">
      <c r="K962"/>
      <c r="L962"/>
    </row>
    <row r="963" spans="11:12" x14ac:dyDescent="0.2">
      <c r="K963"/>
      <c r="L963"/>
    </row>
    <row r="964" spans="11:12" x14ac:dyDescent="0.2">
      <c r="K964"/>
      <c r="L964"/>
    </row>
    <row r="965" spans="11:12" x14ac:dyDescent="0.2">
      <c r="K965"/>
      <c r="L965"/>
    </row>
    <row r="966" spans="11:12" x14ac:dyDescent="0.2">
      <c r="K966"/>
      <c r="L966"/>
    </row>
    <row r="967" spans="11:12" x14ac:dyDescent="0.2">
      <c r="K967"/>
      <c r="L967"/>
    </row>
    <row r="968" spans="11:12" x14ac:dyDescent="0.2">
      <c r="K968"/>
      <c r="L968"/>
    </row>
    <row r="969" spans="11:12" x14ac:dyDescent="0.2">
      <c r="K969"/>
      <c r="L969"/>
    </row>
    <row r="970" spans="11:12" x14ac:dyDescent="0.2">
      <c r="K970"/>
      <c r="L970"/>
    </row>
    <row r="971" spans="11:12" x14ac:dyDescent="0.2">
      <c r="K971"/>
      <c r="L971"/>
    </row>
    <row r="972" spans="11:12" x14ac:dyDescent="0.2">
      <c r="K972"/>
      <c r="L972"/>
    </row>
    <row r="973" spans="11:12" x14ac:dyDescent="0.2">
      <c r="K973"/>
      <c r="L973"/>
    </row>
    <row r="974" spans="11:12" x14ac:dyDescent="0.2">
      <c r="K974"/>
      <c r="L974"/>
    </row>
    <row r="975" spans="11:12" x14ac:dyDescent="0.2">
      <c r="K975"/>
      <c r="L975"/>
    </row>
    <row r="976" spans="11:12" x14ac:dyDescent="0.2">
      <c r="K976"/>
      <c r="L976"/>
    </row>
    <row r="977" spans="11:12" x14ac:dyDescent="0.2">
      <c r="K977"/>
      <c r="L977"/>
    </row>
    <row r="978" spans="11:12" x14ac:dyDescent="0.2">
      <c r="K978"/>
      <c r="L978"/>
    </row>
    <row r="979" spans="11:12" x14ac:dyDescent="0.2">
      <c r="K979"/>
      <c r="L979"/>
    </row>
    <row r="980" spans="11:12" x14ac:dyDescent="0.2">
      <c r="K980"/>
      <c r="L980"/>
    </row>
    <row r="981" spans="11:12" x14ac:dyDescent="0.2">
      <c r="K981"/>
      <c r="L981"/>
    </row>
    <row r="982" spans="11:12" x14ac:dyDescent="0.2">
      <c r="K982"/>
      <c r="L982"/>
    </row>
    <row r="983" spans="11:12" x14ac:dyDescent="0.2">
      <c r="K983"/>
      <c r="L983"/>
    </row>
    <row r="984" spans="11:12" x14ac:dyDescent="0.2">
      <c r="K984"/>
      <c r="L984"/>
    </row>
    <row r="985" spans="11:12" x14ac:dyDescent="0.2">
      <c r="K985"/>
      <c r="L985"/>
    </row>
    <row r="986" spans="11:12" x14ac:dyDescent="0.2">
      <c r="K986"/>
      <c r="L986"/>
    </row>
    <row r="987" spans="11:12" x14ac:dyDescent="0.2">
      <c r="K987"/>
      <c r="L987"/>
    </row>
    <row r="988" spans="11:12" x14ac:dyDescent="0.2">
      <c r="K988"/>
      <c r="L988"/>
    </row>
    <row r="989" spans="11:12" x14ac:dyDescent="0.2">
      <c r="K989"/>
      <c r="L989"/>
    </row>
    <row r="990" spans="11:12" x14ac:dyDescent="0.2">
      <c r="K990"/>
      <c r="L990"/>
    </row>
    <row r="991" spans="11:12" x14ac:dyDescent="0.2">
      <c r="K991"/>
      <c r="L991"/>
    </row>
    <row r="992" spans="11:12" x14ac:dyDescent="0.2">
      <c r="K992"/>
      <c r="L992"/>
    </row>
    <row r="993" spans="11:12" x14ac:dyDescent="0.2">
      <c r="K993"/>
      <c r="L993"/>
    </row>
    <row r="994" spans="11:12" x14ac:dyDescent="0.2">
      <c r="K994"/>
      <c r="L994"/>
    </row>
    <row r="995" spans="11:12" x14ac:dyDescent="0.2">
      <c r="K995"/>
      <c r="L995"/>
    </row>
    <row r="996" spans="11:12" x14ac:dyDescent="0.2">
      <c r="K996"/>
      <c r="L996"/>
    </row>
    <row r="997" spans="11:12" x14ac:dyDescent="0.2">
      <c r="K997"/>
      <c r="L997"/>
    </row>
    <row r="998" spans="11:12" x14ac:dyDescent="0.2">
      <c r="K998"/>
      <c r="L998"/>
    </row>
    <row r="999" spans="11:12" x14ac:dyDescent="0.2">
      <c r="K999"/>
      <c r="L999"/>
    </row>
    <row r="1000" spans="11:12" x14ac:dyDescent="0.2">
      <c r="K1000"/>
      <c r="L1000"/>
    </row>
    <row r="1001" spans="11:12" x14ac:dyDescent="0.2">
      <c r="K1001"/>
      <c r="L1001"/>
    </row>
    <row r="1002" spans="11:12" x14ac:dyDescent="0.2">
      <c r="K1002"/>
      <c r="L1002"/>
    </row>
    <row r="1003" spans="11:12" x14ac:dyDescent="0.2">
      <c r="K1003"/>
      <c r="L1003"/>
    </row>
    <row r="1004" spans="11:12" x14ac:dyDescent="0.2">
      <c r="K1004"/>
      <c r="L1004"/>
    </row>
    <row r="1005" spans="11:12" x14ac:dyDescent="0.2">
      <c r="K1005"/>
      <c r="L1005"/>
    </row>
    <row r="1006" spans="11:12" x14ac:dyDescent="0.2">
      <c r="K1006"/>
      <c r="L1006"/>
    </row>
    <row r="1007" spans="11:12" x14ac:dyDescent="0.2">
      <c r="K1007"/>
      <c r="L1007"/>
    </row>
    <row r="1008" spans="11:12" x14ac:dyDescent="0.2">
      <c r="K1008"/>
      <c r="L1008"/>
    </row>
    <row r="1009" spans="11:12" x14ac:dyDescent="0.2">
      <c r="K1009"/>
      <c r="L1009"/>
    </row>
    <row r="1010" spans="11:12" x14ac:dyDescent="0.2">
      <c r="K1010"/>
      <c r="L1010"/>
    </row>
    <row r="1011" spans="11:12" x14ac:dyDescent="0.2">
      <c r="K1011"/>
      <c r="L1011"/>
    </row>
    <row r="1012" spans="11:12" x14ac:dyDescent="0.2">
      <c r="K1012"/>
      <c r="L1012"/>
    </row>
    <row r="1013" spans="11:12" x14ac:dyDescent="0.2">
      <c r="K1013"/>
      <c r="L1013"/>
    </row>
    <row r="1014" spans="11:12" x14ac:dyDescent="0.2">
      <c r="K1014"/>
      <c r="L1014"/>
    </row>
    <row r="1015" spans="11:12" x14ac:dyDescent="0.2">
      <c r="K1015"/>
      <c r="L1015"/>
    </row>
    <row r="1016" spans="11:12" x14ac:dyDescent="0.2">
      <c r="K1016"/>
      <c r="L1016"/>
    </row>
    <row r="1017" spans="11:12" x14ac:dyDescent="0.2">
      <c r="K1017"/>
      <c r="L1017"/>
    </row>
    <row r="1018" spans="11:12" x14ac:dyDescent="0.2">
      <c r="K1018"/>
      <c r="L1018"/>
    </row>
    <row r="1019" spans="11:12" x14ac:dyDescent="0.2">
      <c r="K1019"/>
      <c r="L1019"/>
    </row>
    <row r="1020" spans="11:12" x14ac:dyDescent="0.2">
      <c r="K1020"/>
      <c r="L1020"/>
    </row>
    <row r="1021" spans="11:12" x14ac:dyDescent="0.2">
      <c r="K1021"/>
      <c r="L1021"/>
    </row>
    <row r="1022" spans="11:12" x14ac:dyDescent="0.2">
      <c r="K1022"/>
      <c r="L1022"/>
    </row>
    <row r="1023" spans="11:12" x14ac:dyDescent="0.2">
      <c r="K1023"/>
      <c r="L1023"/>
    </row>
    <row r="1024" spans="11:12" x14ac:dyDescent="0.2">
      <c r="K1024"/>
      <c r="L1024"/>
    </row>
    <row r="1025" spans="11:12" x14ac:dyDescent="0.2">
      <c r="K1025"/>
      <c r="L1025"/>
    </row>
    <row r="1026" spans="11:12" x14ac:dyDescent="0.2">
      <c r="K1026"/>
      <c r="L1026"/>
    </row>
    <row r="1027" spans="11:12" x14ac:dyDescent="0.2">
      <c r="K1027"/>
      <c r="L1027"/>
    </row>
    <row r="1028" spans="11:12" x14ac:dyDescent="0.2">
      <c r="K1028"/>
      <c r="L1028"/>
    </row>
    <row r="1029" spans="11:12" x14ac:dyDescent="0.2">
      <c r="K1029"/>
      <c r="L1029"/>
    </row>
  </sheetData>
  <mergeCells count="4">
    <mergeCell ref="B2:E2"/>
    <mergeCell ref="B11:E11"/>
    <mergeCell ref="G2:J2"/>
    <mergeCell ref="K26:N26"/>
  </mergeCell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CAE1-BEC6-4B42-84D1-2650A6A9F378}">
  <dimension ref="A2:B4"/>
  <sheetViews>
    <sheetView workbookViewId="0">
      <selection activeCell="B4" sqref="B4"/>
    </sheetView>
  </sheetViews>
  <sheetFormatPr baseColWidth="10" defaultRowHeight="15" x14ac:dyDescent="0.25"/>
  <sheetData>
    <row r="2" spans="1:2" x14ac:dyDescent="0.25">
      <c r="A2" t="s">
        <v>1014</v>
      </c>
      <c r="B2">
        <f>'01_RAW'!C1003</f>
        <v>1000</v>
      </c>
    </row>
    <row r="3" spans="1:2" x14ac:dyDescent="0.25">
      <c r="A3" t="s">
        <v>1015</v>
      </c>
      <c r="B3" s="1">
        <f>'01_RAW'!B1003</f>
        <v>44927</v>
      </c>
    </row>
    <row r="4" spans="1:2" x14ac:dyDescent="0.25">
      <c r="A4" t="s">
        <v>1016</v>
      </c>
      <c r="B4" s="1">
        <f>'01_RAW'!B1004</f>
        <v>45292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313902-3531-4684-984A-AC83A3802B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01_RAW</vt:lpstr>
      <vt:lpstr>02_CLEAN</vt:lpstr>
      <vt:lpstr>03_KPIs</vt:lpstr>
      <vt:lpstr>04_PIVOT</vt:lpstr>
      <vt:lpstr>05_NOTAS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Torres Serrano</dc:creator>
  <cp:lastModifiedBy>Paola Torres Serrano</cp:lastModifiedBy>
  <dcterms:created xsi:type="dcterms:W3CDTF">2026-05-27T19:33:54Z</dcterms:created>
  <dcterms:modified xsi:type="dcterms:W3CDTF">2026-05-27T21:50:37Z</dcterms:modified>
</cp:coreProperties>
</file>